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Bloomberg\Pot\Evolution\"/>
    </mc:Choice>
  </mc:AlternateContent>
  <xr:revisionPtr revIDLastSave="0" documentId="8_{B71C0835-21B5-4244-98D7-C4BCF1EDA4AA}" xr6:coauthVersionLast="47" xr6:coauthVersionMax="47" xr10:uidLastSave="{00000000-0000-0000-0000-000000000000}"/>
  <bookViews>
    <workbookView xWindow="-28920" yWindow="-120" windowWidth="29040" windowHeight="15840" xr2:uid="{8A49C1DA-AD26-4FA4-96AF-99C000C4B70E}"/>
  </bookViews>
  <sheets>
    <sheet name="Stop" sheetId="2" r:id="rId1"/>
    <sheet name="Planilha1" sheetId="1" r:id="rId2"/>
  </sheets>
  <externalReferences>
    <externalReference r:id="rId3"/>
    <externalReference r:id="rId4"/>
  </externalReferences>
  <definedNames>
    <definedName name="ATIVOS">[1]Planilha2!$C$2:$C$77</definedName>
    <definedName name="CAD_Alloc">[2]Trades!$AM$5:$AM$22</definedName>
    <definedName name="cad_book">[2]Trades!$AL$5:$AL$27</definedName>
    <definedName name="CAD_BROKER">[2]Trades!$AJ$5:$AJ$22</definedName>
    <definedName name="cad_prod_mult">[2]Trades!$AB$5:$AB$25</definedName>
    <definedName name="CAD_PRODUTO">[2]Trades!$X$5:$X$25</definedName>
    <definedName name="cad_trader">[2]Trades!$AH$5:$AH$11</definedName>
    <definedName name="CDIDIA">[2]PRE!$E$1</definedName>
    <definedName name="feriados">[2]feriados!$A$1:$A$655</definedName>
    <definedName name="feriados_US">[2]feriados!$C$1:$C$1129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F9" i="2"/>
  <c r="D10" i="2" s="1"/>
  <c r="P9" i="2"/>
  <c r="G4" i="2"/>
  <c r="F7" i="2"/>
  <c r="X6" i="2"/>
  <c r="W6" i="2"/>
  <c r="L9" i="2"/>
  <c r="L10" i="2" s="1"/>
  <c r="J11" i="2" s="1"/>
  <c r="E5" i="2"/>
  <c r="E4" i="2"/>
  <c r="F4" i="2" s="1"/>
  <c r="J10" i="2" l="1"/>
  <c r="F10" i="2"/>
  <c r="F11" i="2" s="1"/>
  <c r="F12" i="2" s="1"/>
  <c r="F13" i="2" s="1"/>
  <c r="F14" i="2" s="1"/>
  <c r="F15" i="2" s="1"/>
  <c r="F16" i="2" s="1"/>
  <c r="L11" i="2"/>
  <c r="J12" i="2" s="1"/>
  <c r="D11" i="2" l="1"/>
  <c r="D12" i="2" s="1"/>
  <c r="F17" i="2"/>
  <c r="D17" i="2"/>
  <c r="L12" i="2"/>
  <c r="J13" i="2" s="1"/>
  <c r="M11" i="2"/>
  <c r="D18" i="2" l="1"/>
  <c r="F18" i="2"/>
  <c r="L13" i="2"/>
  <c r="J14" i="2" s="1"/>
  <c r="D13" i="2"/>
  <c r="F19" i="2" l="1"/>
  <c r="D19" i="2"/>
  <c r="D14" i="2"/>
  <c r="L14" i="2"/>
  <c r="D20" i="2" l="1"/>
  <c r="F20" i="2"/>
  <c r="D15" i="2"/>
  <c r="D16" i="2" s="1"/>
  <c r="M14" i="2"/>
  <c r="J15" i="2"/>
  <c r="L15" i="2"/>
  <c r="L16" i="2" l="1"/>
  <c r="J16" i="2"/>
  <c r="L17" i="2" l="1"/>
  <c r="J17" i="2"/>
  <c r="L18" i="2" l="1"/>
  <c r="J18" i="2"/>
  <c r="L19" i="2" l="1"/>
  <c r="J19" i="2"/>
  <c r="L20" i="2" l="1"/>
  <c r="J20" i="2"/>
</calcChain>
</file>

<file path=xl/sharedStrings.xml><?xml version="1.0" encoding="utf-8"?>
<sst xmlns="http://schemas.openxmlformats.org/spreadsheetml/2006/main" count="27" uniqueCount="23">
  <si>
    <t>Book</t>
  </si>
  <si>
    <t>Tgt Alpha</t>
  </si>
  <si>
    <t>Meta Mês</t>
  </si>
  <si>
    <t>Stop1</t>
  </si>
  <si>
    <t>Stop2</t>
  </si>
  <si>
    <t>Carrego</t>
  </si>
  <si>
    <t>Comite</t>
  </si>
  <si>
    <t>PM</t>
  </si>
  <si>
    <t>50% mês anterior</t>
  </si>
  <si>
    <t>Stop Semestre</t>
  </si>
  <si>
    <t>Stop</t>
  </si>
  <si>
    <t>P&amp;L</t>
  </si>
  <si>
    <t>P&amp;L Ac.</t>
  </si>
  <si>
    <t>Stop Mês</t>
  </si>
  <si>
    <t>Stop Ano</t>
  </si>
  <si>
    <t>Carrego de 100% adicional ao que varar o stop</t>
  </si>
  <si>
    <t>Se stop projetado para proximo mês zerar, fica proximo mês de gancho</t>
  </si>
  <si>
    <t>Regras</t>
  </si>
  <si>
    <t>Carrego negativo de 50% do P&amp;L mês anterior se P&amp;L negativo</t>
  </si>
  <si>
    <t>Carrego positivo (stop maior que 63 bps) apenas se P&amp;L acumulado esta positivo</t>
  </si>
  <si>
    <t>Carrego positivo sempre parte da base de 63</t>
  </si>
  <si>
    <t>Quando resultado negativo sobre uma base supeior ao stop original, first loss é o adicional positivo, descontado em 25%, a partir dai, desconte padrao de 50% e 100% oq varar o stop</t>
  </si>
  <si>
    <t>Carrego negativo parte da base anterior se ela já for menor que o stop original (sequencia de meses negativos). Mês positivo já volta para o stop de 63.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</si>
</sst>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%"/>
    <numFmt numFmtId="166" formatCode="_(* #,##0.00_);_(* \(#,##0.00\);_(* &quot;-&quot;??_);_(@_)"/>
    <numFmt numFmtId="167" formatCode="_(* #,##0.000_);_(* \(#,##0.000\);_(* &quot;-&quot;??_);_(@_)"/>
  </numFmts>
  <fonts count="3" x14ac:knownFonts="1">
    <font>
      <sz val="11"/>
      <color theme="1"/>
      <name val="Gadug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4"/>
        <bgColor theme="9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1" fillId="0" borderId="0" xfId="1"/>
    <xf numFmtId="164" fontId="0" fillId="4" borderId="1" xfId="2" applyNumberFormat="1" applyFont="1" applyFill="1" applyBorder="1"/>
    <xf numFmtId="165" fontId="0" fillId="4" borderId="1" xfId="2" applyNumberFormat="1" applyFont="1" applyFill="1" applyBorder="1"/>
    <xf numFmtId="10" fontId="0" fillId="4" borderId="1" xfId="2" applyNumberFormat="1" applyFont="1" applyFill="1" applyBorder="1"/>
    <xf numFmtId="167" fontId="0" fillId="4" borderId="1" xfId="3" applyNumberFormat="1" applyFont="1" applyFill="1" applyBorder="1"/>
    <xf numFmtId="164" fontId="0" fillId="5" borderId="1" xfId="2" applyNumberFormat="1" applyFont="1" applyFill="1" applyBorder="1"/>
    <xf numFmtId="10" fontId="0" fillId="5" borderId="1" xfId="2" applyNumberFormat="1" applyFont="1" applyFill="1" applyBorder="1"/>
    <xf numFmtId="165" fontId="0" fillId="5" borderId="1" xfId="2" applyNumberFormat="1" applyFont="1" applyFill="1" applyBorder="1"/>
    <xf numFmtId="167" fontId="0" fillId="5" borderId="1" xfId="3" applyNumberFormat="1" applyFont="1" applyFill="1" applyBorder="1"/>
    <xf numFmtId="0" fontId="1" fillId="6" borderId="0" xfId="1" applyFill="1"/>
    <xf numFmtId="0" fontId="1" fillId="7" borderId="0" xfId="1" applyFill="1"/>
    <xf numFmtId="0" fontId="1" fillId="8" borderId="0" xfId="1" applyFill="1"/>
    <xf numFmtId="0" fontId="1" fillId="9" borderId="0" xfId="1" applyFill="1"/>
  </cellXfs>
  <cellStyles count="4">
    <cellStyle name="Normal" xfId="0" builtinId="0"/>
    <cellStyle name="Normal 2" xfId="1" xr:uid="{02FB3F14-ADE4-4FB3-8699-6507AABE3960}"/>
    <cellStyle name="Porcentagem 2" xfId="2" xr:uid="{EB756FF8-E9A7-4845-8005-06DB515204D5}"/>
    <cellStyle name="Vírgula 2" xfId="3" xr:uid="{F2C961B0-97DB-4B17-B382-7B3B303C3C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izf\OneDrive\Documentos\Ace%20Arquivos\Unidade%20de%20USB\Ferramentas\Estudos%20JurosBrasil.xlsb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Juros_Pot.xlsm" TargetMode="External"/><Relationship Id="rId2" Type="http://schemas.openxmlformats.org/officeDocument/2006/relationships/externalLinkPath" Target="file:///F:\Bloomberg\Pot\Juros_Pot.xlsm" TargetMode="External"/><Relationship Id="rId1" Type="http://schemas.openxmlformats.org/officeDocument/2006/relationships/externalLinkPath" Target="/Bloomberg/Pot/Juros_Po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Planilha2"/>
    </sheetNames>
    <sheetDataSet>
      <sheetData sheetId="0"/>
      <sheetData sheetId="1">
        <row r="3">
          <cell r="C3" t="str">
            <v>SELIC</v>
          </cell>
        </row>
        <row r="4">
          <cell r="C4" t="str">
            <v>Pre 3M</v>
          </cell>
        </row>
        <row r="5">
          <cell r="C5" t="str">
            <v>Pre 6M</v>
          </cell>
        </row>
        <row r="6">
          <cell r="C6" t="str">
            <v>Pre 9M</v>
          </cell>
        </row>
        <row r="7">
          <cell r="C7" t="str">
            <v>Pre 1Y</v>
          </cell>
        </row>
        <row r="8">
          <cell r="C8" t="str">
            <v>Pre 1,5Y</v>
          </cell>
        </row>
        <row r="9">
          <cell r="C9" t="str">
            <v>Pre 2Y</v>
          </cell>
        </row>
        <row r="10">
          <cell r="C10" t="str">
            <v>Pre 3Y</v>
          </cell>
        </row>
        <row r="11">
          <cell r="C11" t="str">
            <v>Pre 4Y</v>
          </cell>
        </row>
        <row r="12">
          <cell r="C12" t="str">
            <v>Pre 5Y</v>
          </cell>
        </row>
        <row r="13">
          <cell r="C13" t="str">
            <v>Pre 7Y</v>
          </cell>
        </row>
        <row r="14">
          <cell r="C14" t="str">
            <v>Pre 10Y</v>
          </cell>
        </row>
        <row r="15">
          <cell r="C15" t="str">
            <v>Pre 12Y</v>
          </cell>
        </row>
        <row r="16">
          <cell r="C16" t="str">
            <v>Pre 15Y</v>
          </cell>
        </row>
        <row r="17">
          <cell r="C17" t="str">
            <v>IPCA 1Y</v>
          </cell>
        </row>
        <row r="18">
          <cell r="C18" t="str">
            <v>IPCA 2Y</v>
          </cell>
        </row>
        <row r="19">
          <cell r="C19" t="str">
            <v>IPCA 3Y</v>
          </cell>
        </row>
        <row r="20">
          <cell r="C20" t="str">
            <v>IPCA 5Y</v>
          </cell>
        </row>
        <row r="21">
          <cell r="C21" t="str">
            <v>IPCA 7Y</v>
          </cell>
        </row>
        <row r="22">
          <cell r="C22" t="str">
            <v>IPCA 10Y</v>
          </cell>
        </row>
        <row r="23">
          <cell r="C23" t="str">
            <v>IPCA 15Y</v>
          </cell>
        </row>
        <row r="24">
          <cell r="C24" t="str">
            <v>BE 2Y</v>
          </cell>
        </row>
        <row r="25">
          <cell r="C25" t="str">
            <v>BE 3Y</v>
          </cell>
        </row>
        <row r="26">
          <cell r="C26" t="str">
            <v>BE 5Y</v>
          </cell>
        </row>
        <row r="27">
          <cell r="C27" t="str">
            <v>BE 7Y</v>
          </cell>
        </row>
        <row r="28">
          <cell r="C28" t="str">
            <v>FRA Pre 1y2Y</v>
          </cell>
        </row>
        <row r="29">
          <cell r="C29" t="str">
            <v>FRA Pre 1y3Y</v>
          </cell>
        </row>
        <row r="30">
          <cell r="C30" t="str">
            <v>FRA Pre 1y4Y</v>
          </cell>
        </row>
        <row r="31">
          <cell r="C31" t="str">
            <v>FRA Pre 1y5Y</v>
          </cell>
        </row>
        <row r="32">
          <cell r="C32" t="str">
            <v>FRA Pre 2y3Y</v>
          </cell>
        </row>
        <row r="33">
          <cell r="C33" t="str">
            <v>FRA Pre 2y4Y</v>
          </cell>
        </row>
        <row r="34">
          <cell r="C34" t="str">
            <v>FRA Pre 2y5Y</v>
          </cell>
        </row>
        <row r="35">
          <cell r="C35" t="str">
            <v>FRA Pre 2y7Y</v>
          </cell>
        </row>
        <row r="36">
          <cell r="C36" t="str">
            <v>FRA Pre 3y4Y</v>
          </cell>
        </row>
        <row r="37">
          <cell r="C37" t="str">
            <v>FRA Pre 3y5Y</v>
          </cell>
        </row>
        <row r="38">
          <cell r="C38" t="str">
            <v>FRA Pre 3y7Y</v>
          </cell>
        </row>
        <row r="39">
          <cell r="C39" t="str">
            <v>FRA Pre 4y7Y</v>
          </cell>
        </row>
        <row r="40">
          <cell r="C40" t="str">
            <v>FRA Pre 5y7Y</v>
          </cell>
        </row>
        <row r="41">
          <cell r="C41" t="str">
            <v>FRA Pre 5y10Y</v>
          </cell>
        </row>
        <row r="42">
          <cell r="C42" t="str">
            <v>FRA Pre 7y10Y</v>
          </cell>
        </row>
        <row r="43">
          <cell r="C43" t="str">
            <v>FRA IPCA 1y2Y</v>
          </cell>
        </row>
        <row r="44">
          <cell r="C44" t="str">
            <v>FRA IPCA 2y3Y</v>
          </cell>
        </row>
        <row r="45">
          <cell r="C45" t="str">
            <v>FRA IPCA 2y5Y</v>
          </cell>
        </row>
        <row r="46">
          <cell r="C46" t="str">
            <v>FRA IPCA 3y5Y</v>
          </cell>
        </row>
        <row r="47">
          <cell r="C47" t="str">
            <v>FRA IPCA 3y7Y</v>
          </cell>
        </row>
        <row r="48">
          <cell r="C48" t="str">
            <v>FRA IPCA 5y7Y</v>
          </cell>
        </row>
        <row r="49">
          <cell r="C49" t="str">
            <v>FRA IPCA 5y10Y</v>
          </cell>
        </row>
        <row r="50">
          <cell r="C50" t="str">
            <v>FRA IPCA 7y10Y</v>
          </cell>
        </row>
        <row r="51">
          <cell r="C51" t="str">
            <v>FRA IPCA 7y15Y</v>
          </cell>
        </row>
        <row r="52">
          <cell r="C52" t="str">
            <v>FRA B.E. 1Y2Y</v>
          </cell>
        </row>
        <row r="53">
          <cell r="C53" t="str">
            <v>FRA B.E. 2Y3Y</v>
          </cell>
        </row>
        <row r="54">
          <cell r="C54" t="str">
            <v>FRA B.E. 2Y5Y</v>
          </cell>
        </row>
        <row r="55">
          <cell r="C55" t="str">
            <v>FRA B.E. 3Y5Y</v>
          </cell>
        </row>
        <row r="56">
          <cell r="C56" t="str">
            <v>FRA B.E. 3Y7Y</v>
          </cell>
        </row>
        <row r="57">
          <cell r="C57" t="str">
            <v>Inclinação 1y2Y</v>
          </cell>
        </row>
        <row r="58">
          <cell r="C58" t="str">
            <v>Inclinação 2y3Y</v>
          </cell>
        </row>
        <row r="59">
          <cell r="C59" t="str">
            <v>Inclinação 2y5Y</v>
          </cell>
        </row>
        <row r="60">
          <cell r="C60" t="str">
            <v>Inclinação 3y5Y</v>
          </cell>
        </row>
        <row r="61">
          <cell r="C61" t="str">
            <v>Inclinação 3y7Y</v>
          </cell>
        </row>
        <row r="62">
          <cell r="C62" t="str">
            <v>Inclinação 3y10Y</v>
          </cell>
        </row>
        <row r="63">
          <cell r="C63" t="str">
            <v>Inclinação 4y7Y</v>
          </cell>
        </row>
        <row r="64">
          <cell r="C64" t="str">
            <v>Inclinação 4y10Y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ilha1"/>
      <sheetName val="Copom - Agosto"/>
      <sheetName val="COPOM-IDI"/>
      <sheetName val="COPOM2"/>
      <sheetName val="COPOM (2)"/>
      <sheetName val="COPOM"/>
      <sheetName val="Face"/>
      <sheetName val="PRE"/>
      <sheetName val="CUPOM"/>
      <sheetName val="IPCA_$"/>
      <sheetName val="Trades"/>
      <sheetName val="PRE_TRADE"/>
      <sheetName val="risco"/>
      <sheetName val="BMF"/>
      <sheetName val="Anbima"/>
      <sheetName val="feriados"/>
      <sheetName val="Estatisticas"/>
      <sheetName val="Base Ativos"/>
      <sheetName val="DATA_DEV_DB"/>
      <sheetName val="Posicao_Alba"/>
      <sheetName val="Posicao_Evo"/>
      <sheetName val="Posicao_Balt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E1">
            <v>1.0004016754138976</v>
          </cell>
        </row>
      </sheetData>
      <sheetData sheetId="8"/>
      <sheetData sheetId="9"/>
      <sheetData sheetId="10">
        <row r="5">
          <cell r="X5" t="str">
            <v>DI1</v>
          </cell>
          <cell r="AB5">
            <v>-1</v>
          </cell>
          <cell r="AH5" t="str">
            <v>Pot</v>
          </cell>
          <cell r="AL5" t="str">
            <v>Macro_LF</v>
          </cell>
          <cell r="AM5" t="str">
            <v>MACRO_HF</v>
          </cell>
        </row>
        <row r="6">
          <cell r="X6" t="str">
            <v>DAP</v>
          </cell>
          <cell r="AB6">
            <v>-1</v>
          </cell>
          <cell r="AH6" t="str">
            <v>Luiz Laudari</v>
          </cell>
          <cell r="AJ6" t="str">
            <v>BTG</v>
          </cell>
          <cell r="AL6" t="str">
            <v>RF_LF</v>
          </cell>
          <cell r="AM6" t="str">
            <v>TODOS</v>
          </cell>
        </row>
        <row r="7">
          <cell r="X7" t="str">
            <v>WDO</v>
          </cell>
          <cell r="AB7">
            <v>-1</v>
          </cell>
          <cell r="AH7" t="str">
            <v>Pedro Nunes</v>
          </cell>
          <cell r="AJ7" t="str">
            <v>Itau</v>
          </cell>
          <cell r="AL7" t="str">
            <v>CI_Macro</v>
          </cell>
          <cell r="AM7" t="str">
            <v>EvoStrategy</v>
          </cell>
        </row>
        <row r="8">
          <cell r="X8" t="str">
            <v>DOL</v>
          </cell>
          <cell r="AB8">
            <v>-1</v>
          </cell>
          <cell r="AH8" t="str">
            <v>Thiago Kadobayashi</v>
          </cell>
          <cell r="AJ8" t="str">
            <v>Terra</v>
          </cell>
          <cell r="AM8" t="str">
            <v>Baltra</v>
          </cell>
        </row>
        <row r="9">
          <cell r="X9" t="str">
            <v>WIN</v>
          </cell>
          <cell r="AB9">
            <v>-1</v>
          </cell>
          <cell r="AJ9" t="str">
            <v>Capital Markets</v>
          </cell>
          <cell r="AM9" t="str">
            <v>Albatroz</v>
          </cell>
        </row>
        <row r="10">
          <cell r="X10" t="str">
            <v>IDI</v>
          </cell>
          <cell r="AB10">
            <v>-1</v>
          </cell>
          <cell r="AJ10" t="str">
            <v>XP Investimentos</v>
          </cell>
        </row>
        <row r="11">
          <cell r="X11" t="str">
            <v>NTNB</v>
          </cell>
          <cell r="AB11">
            <v>-1</v>
          </cell>
          <cell r="AJ11" t="str">
            <v>Guide</v>
          </cell>
        </row>
        <row r="12">
          <cell r="X12" t="str">
            <v>DI2</v>
          </cell>
          <cell r="AB12">
            <v>-1</v>
          </cell>
          <cell r="AJ12" t="str">
            <v>UBS</v>
          </cell>
        </row>
        <row r="13">
          <cell r="X13" t="str">
            <v>DAP</v>
          </cell>
          <cell r="AB13">
            <v>-1</v>
          </cell>
          <cell r="AJ13" t="str">
            <v>AGORA</v>
          </cell>
        </row>
        <row r="14">
          <cell r="X14" t="str">
            <v>CPM</v>
          </cell>
          <cell r="AB14">
            <v>-1</v>
          </cell>
          <cell r="AJ14" t="str">
            <v>RENA</v>
          </cell>
        </row>
        <row r="15">
          <cell r="X15" t="str">
            <v>DII</v>
          </cell>
          <cell r="AB15">
            <v>-1</v>
          </cell>
          <cell r="AJ15" t="str">
            <v>TULLETT</v>
          </cell>
        </row>
        <row r="16">
          <cell r="X16" t="str">
            <v>IBOV</v>
          </cell>
          <cell r="AB16">
            <v>-1</v>
          </cell>
          <cell r="AJ16" t="str">
            <v>NECTON</v>
          </cell>
        </row>
        <row r="17">
          <cell r="X17" t="str">
            <v>Lren</v>
          </cell>
          <cell r="AB17">
            <v>-1</v>
          </cell>
          <cell r="AJ17" t="str">
            <v>BGC DTVM</v>
          </cell>
        </row>
        <row r="18">
          <cell r="X18" t="str">
            <v>MRVE</v>
          </cell>
          <cell r="AB18">
            <v>-1</v>
          </cell>
          <cell r="AJ18" t="str">
            <v>Intrabook</v>
          </cell>
        </row>
        <row r="19">
          <cell r="X19" t="str">
            <v>Hapv</v>
          </cell>
          <cell r="AB19">
            <v>-1</v>
          </cell>
          <cell r="AJ19" t="str">
            <v>Lote45</v>
          </cell>
        </row>
        <row r="20">
          <cell r="X20" t="str">
            <v>Bpac</v>
          </cell>
          <cell r="AB20">
            <v>-1</v>
          </cell>
        </row>
        <row r="21">
          <cell r="X21" t="str">
            <v>Rdor</v>
          </cell>
          <cell r="AB21">
            <v>-1</v>
          </cell>
        </row>
        <row r="22">
          <cell r="AB22">
            <v>-1</v>
          </cell>
        </row>
      </sheetData>
      <sheetData sheetId="11"/>
      <sheetData sheetId="12"/>
      <sheetData sheetId="13"/>
      <sheetData sheetId="14"/>
      <sheetData sheetId="15">
        <row r="1">
          <cell r="A1">
            <v>43831</v>
          </cell>
          <cell r="C1">
            <v>42188</v>
          </cell>
        </row>
        <row r="2">
          <cell r="A2">
            <v>43885</v>
          </cell>
          <cell r="C2">
            <v>42254</v>
          </cell>
        </row>
        <row r="3">
          <cell r="A3">
            <v>43886</v>
          </cell>
          <cell r="C3">
            <v>42254</v>
          </cell>
        </row>
        <row r="4">
          <cell r="A4">
            <v>43931</v>
          </cell>
          <cell r="C4">
            <v>42289</v>
          </cell>
        </row>
        <row r="5">
          <cell r="A5">
            <v>43942</v>
          </cell>
          <cell r="C5">
            <v>42289</v>
          </cell>
        </row>
        <row r="6">
          <cell r="A6">
            <v>43952</v>
          </cell>
          <cell r="C6">
            <v>42310</v>
          </cell>
        </row>
        <row r="7">
          <cell r="A7">
            <v>43993</v>
          </cell>
          <cell r="C7">
            <v>42319</v>
          </cell>
        </row>
        <row r="8">
          <cell r="A8">
            <v>44081</v>
          </cell>
          <cell r="C8">
            <v>42323</v>
          </cell>
        </row>
        <row r="9">
          <cell r="A9">
            <v>44116</v>
          </cell>
          <cell r="C9">
            <v>42334</v>
          </cell>
        </row>
        <row r="10">
          <cell r="A10">
            <v>44137</v>
          </cell>
          <cell r="C10">
            <v>42363</v>
          </cell>
        </row>
        <row r="11">
          <cell r="A11">
            <v>44150</v>
          </cell>
          <cell r="C11">
            <v>42363</v>
          </cell>
        </row>
        <row r="12">
          <cell r="A12">
            <v>44190</v>
          </cell>
          <cell r="C12">
            <v>42370</v>
          </cell>
        </row>
        <row r="13">
          <cell r="A13">
            <v>44197</v>
          </cell>
          <cell r="C13">
            <v>42370</v>
          </cell>
        </row>
        <row r="14">
          <cell r="A14">
            <v>44242</v>
          </cell>
          <cell r="C14">
            <v>42387</v>
          </cell>
        </row>
        <row r="15">
          <cell r="A15">
            <v>44243</v>
          </cell>
          <cell r="C15">
            <v>42408</v>
          </cell>
        </row>
        <row r="16">
          <cell r="A16">
            <v>44288</v>
          </cell>
          <cell r="C16">
            <v>42409</v>
          </cell>
        </row>
        <row r="17">
          <cell r="A17">
            <v>44307</v>
          </cell>
          <cell r="C17">
            <v>42415</v>
          </cell>
        </row>
        <row r="18">
          <cell r="A18">
            <v>44317</v>
          </cell>
          <cell r="C18">
            <v>42454</v>
          </cell>
        </row>
        <row r="19">
          <cell r="A19">
            <v>44350</v>
          </cell>
          <cell r="C19">
            <v>42454</v>
          </cell>
        </row>
        <row r="20">
          <cell r="A20">
            <v>44446</v>
          </cell>
          <cell r="C20">
            <v>42481</v>
          </cell>
        </row>
        <row r="21">
          <cell r="A21">
            <v>44481</v>
          </cell>
          <cell r="C21">
            <v>42491</v>
          </cell>
        </row>
        <row r="22">
          <cell r="A22">
            <v>44502</v>
          </cell>
          <cell r="C22">
            <v>42516</v>
          </cell>
        </row>
        <row r="23">
          <cell r="A23">
            <v>44515</v>
          </cell>
          <cell r="C23">
            <v>42520</v>
          </cell>
        </row>
        <row r="24">
          <cell r="A24">
            <v>44555</v>
          </cell>
          <cell r="C24">
            <v>42555</v>
          </cell>
        </row>
        <row r="25">
          <cell r="A25">
            <v>44562</v>
          </cell>
          <cell r="C25">
            <v>42618</v>
          </cell>
        </row>
        <row r="26">
          <cell r="A26">
            <v>44620</v>
          </cell>
          <cell r="C26">
            <v>42620</v>
          </cell>
        </row>
        <row r="27">
          <cell r="A27">
            <v>44621</v>
          </cell>
          <cell r="C27">
            <v>42653</v>
          </cell>
        </row>
        <row r="28">
          <cell r="A28">
            <v>44666</v>
          </cell>
          <cell r="C28">
            <v>42655</v>
          </cell>
        </row>
        <row r="29">
          <cell r="A29">
            <v>44672</v>
          </cell>
          <cell r="C29">
            <v>42676</v>
          </cell>
        </row>
        <row r="30">
          <cell r="A30">
            <v>44682</v>
          </cell>
          <cell r="C30">
            <v>42685</v>
          </cell>
        </row>
        <row r="31">
          <cell r="A31">
            <v>44728</v>
          </cell>
          <cell r="C31">
            <v>42689</v>
          </cell>
        </row>
        <row r="32">
          <cell r="A32">
            <v>44811</v>
          </cell>
          <cell r="C32">
            <v>42698</v>
          </cell>
        </row>
        <row r="33">
          <cell r="A33">
            <v>44846</v>
          </cell>
          <cell r="C33">
            <v>42729</v>
          </cell>
        </row>
        <row r="34">
          <cell r="A34">
            <v>44867</v>
          </cell>
          <cell r="C34">
            <v>42730</v>
          </cell>
        </row>
        <row r="35">
          <cell r="A35">
            <v>44880</v>
          </cell>
          <cell r="C35">
            <v>42736</v>
          </cell>
        </row>
        <row r="36">
          <cell r="A36">
            <v>44920</v>
          </cell>
          <cell r="C36">
            <v>42737</v>
          </cell>
        </row>
        <row r="37">
          <cell r="A37">
            <v>44927</v>
          </cell>
          <cell r="C37">
            <v>42751</v>
          </cell>
        </row>
        <row r="38">
          <cell r="A38">
            <v>44977</v>
          </cell>
          <cell r="C38">
            <v>42786</v>
          </cell>
        </row>
        <row r="39">
          <cell r="A39">
            <v>44978</v>
          </cell>
          <cell r="C39">
            <v>42793</v>
          </cell>
        </row>
        <row r="40">
          <cell r="A40">
            <v>45023</v>
          </cell>
          <cell r="C40">
            <v>42794</v>
          </cell>
        </row>
        <row r="41">
          <cell r="A41">
            <v>45037</v>
          </cell>
          <cell r="C41">
            <v>42839</v>
          </cell>
        </row>
        <row r="42">
          <cell r="A42">
            <v>45047</v>
          </cell>
          <cell r="C42">
            <v>42839</v>
          </cell>
        </row>
        <row r="43">
          <cell r="A43">
            <v>45085</v>
          </cell>
          <cell r="C43">
            <v>42846</v>
          </cell>
        </row>
        <row r="44">
          <cell r="A44">
            <v>45176</v>
          </cell>
          <cell r="C44">
            <v>42856</v>
          </cell>
        </row>
        <row r="45">
          <cell r="A45">
            <v>45211</v>
          </cell>
          <cell r="C45">
            <v>42884</v>
          </cell>
        </row>
        <row r="46">
          <cell r="A46">
            <v>45232</v>
          </cell>
          <cell r="C46">
            <v>42901</v>
          </cell>
        </row>
        <row r="47">
          <cell r="A47">
            <v>45245</v>
          </cell>
          <cell r="C47">
            <v>42920</v>
          </cell>
        </row>
        <row r="48">
          <cell r="A48">
            <v>45285</v>
          </cell>
          <cell r="C48">
            <v>42982</v>
          </cell>
        </row>
        <row r="49">
          <cell r="A49">
            <v>45292</v>
          </cell>
          <cell r="C49">
            <v>42985</v>
          </cell>
        </row>
        <row r="50">
          <cell r="A50">
            <v>45334</v>
          </cell>
          <cell r="C50">
            <v>43017</v>
          </cell>
        </row>
        <row r="51">
          <cell r="A51">
            <v>45335</v>
          </cell>
          <cell r="C51">
            <v>43020</v>
          </cell>
        </row>
        <row r="52">
          <cell r="A52">
            <v>45380</v>
          </cell>
          <cell r="C52">
            <v>43041</v>
          </cell>
        </row>
        <row r="53">
          <cell r="A53">
            <v>45403</v>
          </cell>
          <cell r="C53">
            <v>43054</v>
          </cell>
        </row>
        <row r="54">
          <cell r="A54">
            <v>45413</v>
          </cell>
          <cell r="C54">
            <v>43062</v>
          </cell>
        </row>
        <row r="55">
          <cell r="A55">
            <v>45442</v>
          </cell>
          <cell r="C55">
            <v>43094</v>
          </cell>
        </row>
        <row r="56">
          <cell r="A56">
            <v>45542</v>
          </cell>
          <cell r="C56">
            <v>43094</v>
          </cell>
        </row>
        <row r="57">
          <cell r="A57">
            <v>45577</v>
          </cell>
          <cell r="C57">
            <v>43101</v>
          </cell>
        </row>
        <row r="58">
          <cell r="A58">
            <v>45598</v>
          </cell>
          <cell r="C58">
            <v>43101</v>
          </cell>
        </row>
        <row r="59">
          <cell r="A59">
            <v>45611</v>
          </cell>
          <cell r="C59">
            <v>43115</v>
          </cell>
        </row>
        <row r="60">
          <cell r="A60">
            <v>45616</v>
          </cell>
          <cell r="C60">
            <v>43143</v>
          </cell>
        </row>
        <row r="61">
          <cell r="A61">
            <v>45651</v>
          </cell>
          <cell r="C61">
            <v>43144</v>
          </cell>
        </row>
        <row r="62">
          <cell r="A62">
            <v>45658</v>
          </cell>
          <cell r="C62">
            <v>43150</v>
          </cell>
        </row>
        <row r="63">
          <cell r="A63">
            <v>45719</v>
          </cell>
          <cell r="C63">
            <v>43189</v>
          </cell>
        </row>
        <row r="64">
          <cell r="A64">
            <v>45720</v>
          </cell>
          <cell r="C64">
            <v>43189</v>
          </cell>
        </row>
        <row r="65">
          <cell r="A65">
            <v>45765</v>
          </cell>
          <cell r="C65">
            <v>43211</v>
          </cell>
        </row>
        <row r="66">
          <cell r="A66">
            <v>45768</v>
          </cell>
          <cell r="C66">
            <v>43221</v>
          </cell>
        </row>
        <row r="67">
          <cell r="A67">
            <v>45778</v>
          </cell>
          <cell r="C67">
            <v>43248</v>
          </cell>
        </row>
        <row r="68">
          <cell r="A68">
            <v>45827</v>
          </cell>
          <cell r="C68">
            <v>43251</v>
          </cell>
        </row>
        <row r="69">
          <cell r="A69">
            <v>45907</v>
          </cell>
          <cell r="C69">
            <v>43285</v>
          </cell>
        </row>
        <row r="70">
          <cell r="A70">
            <v>45942</v>
          </cell>
          <cell r="C70">
            <v>43346</v>
          </cell>
        </row>
        <row r="71">
          <cell r="A71">
            <v>45963</v>
          </cell>
          <cell r="C71">
            <v>43350</v>
          </cell>
        </row>
        <row r="72">
          <cell r="A72">
            <v>45976</v>
          </cell>
          <cell r="C72">
            <v>43381</v>
          </cell>
        </row>
        <row r="73">
          <cell r="A73">
            <v>45981</v>
          </cell>
          <cell r="C73">
            <v>43385</v>
          </cell>
        </row>
        <row r="74">
          <cell r="A74">
            <v>46016</v>
          </cell>
          <cell r="C74">
            <v>43406</v>
          </cell>
        </row>
        <row r="75">
          <cell r="A75">
            <v>46023</v>
          </cell>
          <cell r="C75">
            <v>43416</v>
          </cell>
        </row>
        <row r="76">
          <cell r="A76">
            <v>46069</v>
          </cell>
          <cell r="C76">
            <v>43419</v>
          </cell>
        </row>
        <row r="77">
          <cell r="A77">
            <v>46070</v>
          </cell>
          <cell r="C77">
            <v>43426</v>
          </cell>
        </row>
        <row r="78">
          <cell r="A78">
            <v>46115</v>
          </cell>
          <cell r="C78">
            <v>43459</v>
          </cell>
        </row>
        <row r="79">
          <cell r="A79">
            <v>46133</v>
          </cell>
          <cell r="C79">
            <v>43459</v>
          </cell>
        </row>
        <row r="80">
          <cell r="A80">
            <v>46143</v>
          </cell>
          <cell r="C80">
            <v>43466</v>
          </cell>
        </row>
        <row r="81">
          <cell r="A81">
            <v>46177</v>
          </cell>
          <cell r="C81">
            <v>43466</v>
          </cell>
        </row>
        <row r="82">
          <cell r="A82">
            <v>46272</v>
          </cell>
          <cell r="C82">
            <v>43486</v>
          </cell>
        </row>
        <row r="83">
          <cell r="A83">
            <v>46307</v>
          </cell>
          <cell r="C83">
            <v>43514</v>
          </cell>
        </row>
        <row r="84">
          <cell r="A84">
            <v>46328</v>
          </cell>
          <cell r="C84">
            <v>43528</v>
          </cell>
        </row>
        <row r="85">
          <cell r="A85">
            <v>46341</v>
          </cell>
          <cell r="C85">
            <v>43529</v>
          </cell>
        </row>
        <row r="86">
          <cell r="A86">
            <v>46346</v>
          </cell>
          <cell r="C86">
            <v>43574</v>
          </cell>
        </row>
        <row r="87">
          <cell r="A87">
            <v>46381</v>
          </cell>
          <cell r="C87">
            <v>43574</v>
          </cell>
        </row>
        <row r="88">
          <cell r="A88">
            <v>46388</v>
          </cell>
          <cell r="C88">
            <v>43576</v>
          </cell>
        </row>
        <row r="89">
          <cell r="A89">
            <v>46426</v>
          </cell>
          <cell r="C89">
            <v>43586</v>
          </cell>
        </row>
        <row r="90">
          <cell r="A90">
            <v>46427</v>
          </cell>
          <cell r="C90">
            <v>43612</v>
          </cell>
        </row>
        <row r="91">
          <cell r="A91">
            <v>46472</v>
          </cell>
          <cell r="C91">
            <v>43636</v>
          </cell>
        </row>
        <row r="92">
          <cell r="A92">
            <v>46498</v>
          </cell>
          <cell r="C92">
            <v>43650</v>
          </cell>
        </row>
        <row r="93">
          <cell r="A93">
            <v>46508</v>
          </cell>
          <cell r="C93">
            <v>43710</v>
          </cell>
        </row>
        <row r="94">
          <cell r="A94">
            <v>46534</v>
          </cell>
          <cell r="C94">
            <v>43715</v>
          </cell>
        </row>
        <row r="95">
          <cell r="A95">
            <v>46637</v>
          </cell>
          <cell r="C95">
            <v>43750</v>
          </cell>
        </row>
        <row r="96">
          <cell r="A96">
            <v>46672</v>
          </cell>
          <cell r="C96">
            <v>43752</v>
          </cell>
        </row>
        <row r="97">
          <cell r="A97">
            <v>46693</v>
          </cell>
          <cell r="C97">
            <v>43771</v>
          </cell>
        </row>
        <row r="98">
          <cell r="A98">
            <v>46706</v>
          </cell>
          <cell r="C98">
            <v>43780</v>
          </cell>
        </row>
        <row r="99">
          <cell r="A99">
            <v>46711</v>
          </cell>
          <cell r="C99">
            <v>43784</v>
          </cell>
        </row>
        <row r="100">
          <cell r="A100">
            <v>46746</v>
          </cell>
          <cell r="C100">
            <v>43797</v>
          </cell>
        </row>
        <row r="101">
          <cell r="A101">
            <v>46753</v>
          </cell>
          <cell r="C101">
            <v>43824</v>
          </cell>
        </row>
        <row r="102">
          <cell r="A102">
            <v>46811</v>
          </cell>
          <cell r="C102">
            <v>43824</v>
          </cell>
        </row>
        <row r="103">
          <cell r="A103">
            <v>46812</v>
          </cell>
          <cell r="C103">
            <v>43831</v>
          </cell>
        </row>
        <row r="104">
          <cell r="A104">
            <v>46857</v>
          </cell>
          <cell r="C104">
            <v>43831</v>
          </cell>
        </row>
        <row r="105">
          <cell r="A105">
            <v>46864</v>
          </cell>
          <cell r="C105">
            <v>43850</v>
          </cell>
        </row>
        <row r="106">
          <cell r="A106">
            <v>46874</v>
          </cell>
          <cell r="C106">
            <v>43878</v>
          </cell>
        </row>
        <row r="107">
          <cell r="A107">
            <v>46919</v>
          </cell>
          <cell r="C107">
            <v>43885</v>
          </cell>
        </row>
        <row r="108">
          <cell r="A108">
            <v>47003</v>
          </cell>
          <cell r="C108">
            <v>43886</v>
          </cell>
        </row>
        <row r="109">
          <cell r="A109">
            <v>47038</v>
          </cell>
          <cell r="C109">
            <v>43931</v>
          </cell>
        </row>
        <row r="110">
          <cell r="A110">
            <v>47059</v>
          </cell>
          <cell r="C110">
            <v>43931</v>
          </cell>
        </row>
        <row r="111">
          <cell r="A111">
            <v>47072</v>
          </cell>
          <cell r="C111">
            <v>43942</v>
          </cell>
        </row>
        <row r="112">
          <cell r="A112">
            <v>47077</v>
          </cell>
          <cell r="C112">
            <v>43952</v>
          </cell>
        </row>
        <row r="113">
          <cell r="A113">
            <v>47112</v>
          </cell>
          <cell r="C113">
            <v>43976</v>
          </cell>
        </row>
        <row r="114">
          <cell r="A114">
            <v>47119</v>
          </cell>
          <cell r="C114">
            <v>43993</v>
          </cell>
        </row>
        <row r="115">
          <cell r="A115">
            <v>47161</v>
          </cell>
          <cell r="C115">
            <v>44015</v>
          </cell>
        </row>
        <row r="116">
          <cell r="A116">
            <v>47162</v>
          </cell>
          <cell r="C116">
            <v>44081</v>
          </cell>
        </row>
        <row r="117">
          <cell r="A117">
            <v>47207</v>
          </cell>
          <cell r="C117">
            <v>44081</v>
          </cell>
        </row>
        <row r="118">
          <cell r="A118">
            <v>47229</v>
          </cell>
          <cell r="C118">
            <v>44116</v>
          </cell>
        </row>
        <row r="119">
          <cell r="A119">
            <v>47239</v>
          </cell>
          <cell r="C119">
            <v>44116</v>
          </cell>
        </row>
        <row r="120">
          <cell r="A120">
            <v>47269</v>
          </cell>
          <cell r="C120">
            <v>44137</v>
          </cell>
        </row>
        <row r="121">
          <cell r="A121">
            <v>47368</v>
          </cell>
          <cell r="C121">
            <v>44146</v>
          </cell>
        </row>
        <row r="122">
          <cell r="A122">
            <v>47403</v>
          </cell>
          <cell r="C122">
            <v>44150</v>
          </cell>
        </row>
        <row r="123">
          <cell r="A123">
            <v>47424</v>
          </cell>
          <cell r="C123">
            <v>44161</v>
          </cell>
        </row>
        <row r="124">
          <cell r="A124">
            <v>47437</v>
          </cell>
          <cell r="C124">
            <v>44190</v>
          </cell>
        </row>
        <row r="125">
          <cell r="A125">
            <v>47442</v>
          </cell>
          <cell r="C125">
            <v>44190</v>
          </cell>
        </row>
        <row r="126">
          <cell r="A126">
            <v>47477</v>
          </cell>
          <cell r="C126">
            <v>44197</v>
          </cell>
        </row>
        <row r="127">
          <cell r="A127">
            <v>47484</v>
          </cell>
          <cell r="C127">
            <v>44197</v>
          </cell>
        </row>
        <row r="128">
          <cell r="A128">
            <v>47546</v>
          </cell>
          <cell r="C128">
            <v>44214</v>
          </cell>
        </row>
        <row r="129">
          <cell r="A129">
            <v>47547</v>
          </cell>
          <cell r="C129">
            <v>44242</v>
          </cell>
        </row>
        <row r="130">
          <cell r="A130">
            <v>47592</v>
          </cell>
          <cell r="C130">
            <v>44242</v>
          </cell>
        </row>
        <row r="131">
          <cell r="A131">
            <v>47594</v>
          </cell>
          <cell r="C131">
            <v>44243</v>
          </cell>
        </row>
        <row r="132">
          <cell r="A132">
            <v>47604</v>
          </cell>
          <cell r="C132">
            <v>44288</v>
          </cell>
        </row>
        <row r="133">
          <cell r="A133">
            <v>47654</v>
          </cell>
          <cell r="C133">
            <v>44288</v>
          </cell>
        </row>
        <row r="134">
          <cell r="A134">
            <v>47733</v>
          </cell>
          <cell r="C134">
            <v>44307</v>
          </cell>
        </row>
        <row r="135">
          <cell r="A135">
            <v>47768</v>
          </cell>
          <cell r="C135">
            <v>44317</v>
          </cell>
        </row>
        <row r="136">
          <cell r="A136">
            <v>47789</v>
          </cell>
          <cell r="C136">
            <v>44347</v>
          </cell>
        </row>
        <row r="137">
          <cell r="A137">
            <v>47802</v>
          </cell>
          <cell r="C137">
            <v>44350</v>
          </cell>
        </row>
        <row r="138">
          <cell r="A138">
            <v>47807</v>
          </cell>
          <cell r="C138">
            <v>44382</v>
          </cell>
        </row>
        <row r="139">
          <cell r="A139">
            <v>47842</v>
          </cell>
          <cell r="C139">
            <v>44445</v>
          </cell>
        </row>
        <row r="140">
          <cell r="A140">
            <v>47849</v>
          </cell>
          <cell r="C140">
            <v>44446</v>
          </cell>
        </row>
        <row r="141">
          <cell r="A141">
            <v>47903</v>
          </cell>
          <cell r="C141">
            <v>44480</v>
          </cell>
        </row>
        <row r="142">
          <cell r="A142">
            <v>47904</v>
          </cell>
          <cell r="C142">
            <v>44481</v>
          </cell>
        </row>
        <row r="143">
          <cell r="A143">
            <v>47949</v>
          </cell>
          <cell r="C143">
            <v>44502</v>
          </cell>
        </row>
        <row r="144">
          <cell r="A144">
            <v>47959</v>
          </cell>
          <cell r="C144">
            <v>44511</v>
          </cell>
        </row>
        <row r="145">
          <cell r="A145">
            <v>47969</v>
          </cell>
          <cell r="C145">
            <v>44515</v>
          </cell>
        </row>
        <row r="146">
          <cell r="A146">
            <v>48011</v>
          </cell>
          <cell r="C146">
            <v>44525</v>
          </cell>
        </row>
        <row r="147">
          <cell r="A147">
            <v>48098</v>
          </cell>
          <cell r="C147">
            <v>44554</v>
          </cell>
        </row>
        <row r="148">
          <cell r="A148">
            <v>48133</v>
          </cell>
          <cell r="C148">
            <v>44555</v>
          </cell>
        </row>
        <row r="149">
          <cell r="A149">
            <v>48154</v>
          </cell>
          <cell r="C149">
            <v>44562</v>
          </cell>
        </row>
        <row r="150">
          <cell r="A150">
            <v>48167</v>
          </cell>
          <cell r="C150">
            <v>44578</v>
          </cell>
        </row>
        <row r="151">
          <cell r="A151">
            <v>48172</v>
          </cell>
          <cell r="C151">
            <v>44613</v>
          </cell>
        </row>
        <row r="152">
          <cell r="A152">
            <v>48207</v>
          </cell>
          <cell r="C152">
            <v>44620</v>
          </cell>
        </row>
        <row r="153">
          <cell r="A153">
            <v>48214</v>
          </cell>
          <cell r="C153">
            <v>44621</v>
          </cell>
        </row>
        <row r="154">
          <cell r="A154">
            <v>48253</v>
          </cell>
          <cell r="C154">
            <v>44666</v>
          </cell>
        </row>
        <row r="155">
          <cell r="A155">
            <v>48254</v>
          </cell>
          <cell r="C155">
            <v>44666</v>
          </cell>
        </row>
        <row r="156">
          <cell r="A156">
            <v>48299</v>
          </cell>
          <cell r="C156">
            <v>44672</v>
          </cell>
        </row>
        <row r="157">
          <cell r="A157">
            <v>48325</v>
          </cell>
          <cell r="C157">
            <v>44682</v>
          </cell>
        </row>
        <row r="158">
          <cell r="A158">
            <v>48335</v>
          </cell>
          <cell r="C158">
            <v>44711</v>
          </cell>
        </row>
        <row r="159">
          <cell r="A159">
            <v>48361</v>
          </cell>
          <cell r="C159">
            <v>44728</v>
          </cell>
        </row>
        <row r="160">
          <cell r="A160">
            <v>48464</v>
          </cell>
          <cell r="C160">
            <v>44746</v>
          </cell>
        </row>
        <row r="161">
          <cell r="A161">
            <v>48499</v>
          </cell>
          <cell r="C161">
            <v>44809</v>
          </cell>
        </row>
        <row r="162">
          <cell r="A162">
            <v>48520</v>
          </cell>
          <cell r="C162">
            <v>44811</v>
          </cell>
        </row>
        <row r="163">
          <cell r="A163">
            <v>48533</v>
          </cell>
          <cell r="C163">
            <v>44844</v>
          </cell>
        </row>
        <row r="164">
          <cell r="A164">
            <v>48538</v>
          </cell>
          <cell r="C164">
            <v>44846</v>
          </cell>
        </row>
        <row r="165">
          <cell r="A165">
            <v>48573</v>
          </cell>
          <cell r="C165">
            <v>44867</v>
          </cell>
        </row>
        <row r="166">
          <cell r="A166">
            <v>48580</v>
          </cell>
          <cell r="C166">
            <v>44876</v>
          </cell>
        </row>
        <row r="167">
          <cell r="A167">
            <v>48638</v>
          </cell>
          <cell r="C167">
            <v>44880</v>
          </cell>
        </row>
        <row r="168">
          <cell r="A168">
            <v>48639</v>
          </cell>
          <cell r="C168">
            <v>44889</v>
          </cell>
        </row>
        <row r="169">
          <cell r="A169">
            <v>48684</v>
          </cell>
          <cell r="C169">
            <v>44920</v>
          </cell>
        </row>
        <row r="170">
          <cell r="A170">
            <v>48690</v>
          </cell>
          <cell r="C170">
            <v>44921</v>
          </cell>
        </row>
        <row r="171">
          <cell r="A171">
            <v>48700</v>
          </cell>
          <cell r="C171">
            <v>44927</v>
          </cell>
        </row>
        <row r="172">
          <cell r="A172">
            <v>48746</v>
          </cell>
          <cell r="C172">
            <v>44928</v>
          </cell>
        </row>
        <row r="173">
          <cell r="A173">
            <v>48829</v>
          </cell>
          <cell r="C173">
            <v>44942</v>
          </cell>
        </row>
        <row r="174">
          <cell r="A174">
            <v>48864</v>
          </cell>
          <cell r="C174">
            <v>44977</v>
          </cell>
        </row>
        <row r="175">
          <cell r="A175">
            <v>48885</v>
          </cell>
          <cell r="C175">
            <v>44977</v>
          </cell>
        </row>
        <row r="176">
          <cell r="A176">
            <v>48898</v>
          </cell>
          <cell r="C176">
            <v>44978</v>
          </cell>
        </row>
        <row r="177">
          <cell r="A177">
            <v>48903</v>
          </cell>
          <cell r="C177">
            <v>45023</v>
          </cell>
        </row>
        <row r="178">
          <cell r="A178">
            <v>48938</v>
          </cell>
          <cell r="C178">
            <v>45023</v>
          </cell>
        </row>
        <row r="179">
          <cell r="A179">
            <v>48945</v>
          </cell>
          <cell r="C179">
            <v>45037</v>
          </cell>
        </row>
        <row r="180">
          <cell r="A180">
            <v>48995</v>
          </cell>
          <cell r="C180">
            <v>45047</v>
          </cell>
        </row>
        <row r="181">
          <cell r="A181">
            <v>48996</v>
          </cell>
          <cell r="C181">
            <v>45075</v>
          </cell>
        </row>
        <row r="182">
          <cell r="A182">
            <v>49041</v>
          </cell>
          <cell r="C182">
            <v>45085</v>
          </cell>
        </row>
        <row r="183">
          <cell r="A183">
            <v>49055</v>
          </cell>
          <cell r="C183">
            <v>45111</v>
          </cell>
        </row>
        <row r="184">
          <cell r="A184">
            <v>49065</v>
          </cell>
          <cell r="C184">
            <v>45173</v>
          </cell>
        </row>
        <row r="185">
          <cell r="A185">
            <v>49103</v>
          </cell>
          <cell r="C185">
            <v>45176</v>
          </cell>
        </row>
        <row r="186">
          <cell r="A186">
            <v>49194</v>
          </cell>
          <cell r="C186">
            <v>45208</v>
          </cell>
        </row>
        <row r="187">
          <cell r="A187">
            <v>49229</v>
          </cell>
          <cell r="C187">
            <v>45211</v>
          </cell>
        </row>
        <row r="188">
          <cell r="A188">
            <v>49250</v>
          </cell>
          <cell r="C188">
            <v>45232</v>
          </cell>
        </row>
        <row r="189">
          <cell r="A189">
            <v>49263</v>
          </cell>
          <cell r="C189">
            <v>45245</v>
          </cell>
        </row>
        <row r="190">
          <cell r="A190">
            <v>49268</v>
          </cell>
          <cell r="C190">
            <v>45253</v>
          </cell>
        </row>
        <row r="191">
          <cell r="A191">
            <v>49303</v>
          </cell>
          <cell r="C191">
            <v>45285</v>
          </cell>
        </row>
        <row r="192">
          <cell r="A192">
            <v>49310</v>
          </cell>
          <cell r="C192">
            <v>45285</v>
          </cell>
        </row>
        <row r="193">
          <cell r="A193">
            <v>49345</v>
          </cell>
          <cell r="C193">
            <v>45292</v>
          </cell>
        </row>
        <row r="194">
          <cell r="A194">
            <v>49346</v>
          </cell>
          <cell r="C194">
            <v>45292</v>
          </cell>
        </row>
        <row r="195">
          <cell r="A195">
            <v>49391</v>
          </cell>
          <cell r="C195">
            <v>45306</v>
          </cell>
        </row>
        <row r="196">
          <cell r="A196">
            <v>49420</v>
          </cell>
          <cell r="C196">
            <v>45334</v>
          </cell>
        </row>
        <row r="197">
          <cell r="A197">
            <v>49430</v>
          </cell>
          <cell r="C197">
            <v>45335</v>
          </cell>
        </row>
        <row r="198">
          <cell r="A198">
            <v>49453</v>
          </cell>
          <cell r="C198">
            <v>45341</v>
          </cell>
        </row>
        <row r="199">
          <cell r="A199">
            <v>49559</v>
          </cell>
          <cell r="C199">
            <v>45380</v>
          </cell>
        </row>
        <row r="200">
          <cell r="A200">
            <v>49594</v>
          </cell>
          <cell r="C200">
            <v>45380</v>
          </cell>
        </row>
        <row r="201">
          <cell r="A201">
            <v>49615</v>
          </cell>
          <cell r="C201">
            <v>45403</v>
          </cell>
        </row>
        <row r="202">
          <cell r="A202">
            <v>49628</v>
          </cell>
          <cell r="C202">
            <v>45413</v>
          </cell>
        </row>
        <row r="203">
          <cell r="A203">
            <v>49633</v>
          </cell>
          <cell r="C203">
            <v>45439</v>
          </cell>
        </row>
        <row r="204">
          <cell r="A204">
            <v>49668</v>
          </cell>
          <cell r="C204">
            <v>45442</v>
          </cell>
        </row>
        <row r="205">
          <cell r="A205">
            <v>49675</v>
          </cell>
          <cell r="C205">
            <v>45477</v>
          </cell>
        </row>
        <row r="206">
          <cell r="A206">
            <v>49730</v>
          </cell>
          <cell r="C206">
            <v>45537</v>
          </cell>
        </row>
        <row r="207">
          <cell r="A207">
            <v>49731</v>
          </cell>
          <cell r="C207">
            <v>45542</v>
          </cell>
        </row>
        <row r="208">
          <cell r="A208">
            <v>49776</v>
          </cell>
          <cell r="C208">
            <v>45577</v>
          </cell>
        </row>
        <row r="209">
          <cell r="A209">
            <v>49786</v>
          </cell>
          <cell r="C209">
            <v>45579</v>
          </cell>
        </row>
        <row r="210">
          <cell r="A210">
            <v>49796</v>
          </cell>
          <cell r="C210">
            <v>45598</v>
          </cell>
        </row>
        <row r="211">
          <cell r="A211">
            <v>49838</v>
          </cell>
          <cell r="C211">
            <v>45607</v>
          </cell>
        </row>
        <row r="212">
          <cell r="A212">
            <v>49925</v>
          </cell>
          <cell r="C212">
            <v>45611</v>
          </cell>
        </row>
        <row r="213">
          <cell r="A213">
            <v>49960</v>
          </cell>
          <cell r="C213">
            <v>45624</v>
          </cell>
        </row>
        <row r="214">
          <cell r="A214">
            <v>49981</v>
          </cell>
          <cell r="C214">
            <v>45651</v>
          </cell>
        </row>
        <row r="215">
          <cell r="A215">
            <v>49994</v>
          </cell>
          <cell r="C215">
            <v>45651</v>
          </cell>
        </row>
        <row r="216">
          <cell r="A216">
            <v>49999</v>
          </cell>
          <cell r="C216">
            <v>45658</v>
          </cell>
        </row>
        <row r="217">
          <cell r="A217">
            <v>50034</v>
          </cell>
          <cell r="C217">
            <v>45658</v>
          </cell>
        </row>
        <row r="218">
          <cell r="A218">
            <v>50041</v>
          </cell>
          <cell r="C218">
            <v>45677</v>
          </cell>
        </row>
        <row r="219">
          <cell r="A219">
            <v>50087</v>
          </cell>
          <cell r="C219">
            <v>45705</v>
          </cell>
        </row>
        <row r="220">
          <cell r="A220">
            <v>50088</v>
          </cell>
          <cell r="C220">
            <v>45719</v>
          </cell>
        </row>
        <row r="221">
          <cell r="A221">
            <v>50133</v>
          </cell>
          <cell r="C221">
            <v>45720</v>
          </cell>
        </row>
        <row r="222">
          <cell r="A222">
            <v>50151</v>
          </cell>
          <cell r="C222">
            <v>45765</v>
          </cell>
        </row>
        <row r="223">
          <cell r="A223">
            <v>50161</v>
          </cell>
          <cell r="C223">
            <v>45765</v>
          </cell>
        </row>
        <row r="224">
          <cell r="A224">
            <v>50195</v>
          </cell>
          <cell r="C224">
            <v>45768</v>
          </cell>
        </row>
        <row r="225">
          <cell r="A225">
            <v>50290</v>
          </cell>
          <cell r="C225">
            <v>45778</v>
          </cell>
        </row>
        <row r="226">
          <cell r="A226">
            <v>50325</v>
          </cell>
          <cell r="C226">
            <v>45803</v>
          </cell>
        </row>
        <row r="227">
          <cell r="A227">
            <v>50346</v>
          </cell>
          <cell r="C227">
            <v>45827</v>
          </cell>
        </row>
        <row r="228">
          <cell r="A228">
            <v>50359</v>
          </cell>
          <cell r="C228">
            <v>45842</v>
          </cell>
        </row>
        <row r="229">
          <cell r="A229">
            <v>50364</v>
          </cell>
          <cell r="C229">
            <v>45901</v>
          </cell>
        </row>
        <row r="230">
          <cell r="A230">
            <v>50399</v>
          </cell>
          <cell r="C230">
            <v>45907</v>
          </cell>
        </row>
        <row r="231">
          <cell r="A231">
            <v>50406</v>
          </cell>
          <cell r="C231">
            <v>45942</v>
          </cell>
        </row>
        <row r="232">
          <cell r="A232">
            <v>50472</v>
          </cell>
          <cell r="C232">
            <v>45943</v>
          </cell>
        </row>
        <row r="233">
          <cell r="A233">
            <v>50473</v>
          </cell>
          <cell r="C233">
            <v>45963</v>
          </cell>
        </row>
        <row r="234">
          <cell r="A234">
            <v>50516</v>
          </cell>
          <cell r="C234">
            <v>45972</v>
          </cell>
        </row>
        <row r="235">
          <cell r="A235">
            <v>50518</v>
          </cell>
          <cell r="C235">
            <v>45976</v>
          </cell>
        </row>
        <row r="236">
          <cell r="A236">
            <v>50526</v>
          </cell>
          <cell r="C236">
            <v>45988</v>
          </cell>
        </row>
        <row r="237">
          <cell r="A237">
            <v>50580</v>
          </cell>
          <cell r="C237">
            <v>46016</v>
          </cell>
        </row>
        <row r="238">
          <cell r="A238">
            <v>50655</v>
          </cell>
          <cell r="C238">
            <v>46016</v>
          </cell>
        </row>
        <row r="239">
          <cell r="A239">
            <v>50690</v>
          </cell>
          <cell r="C239">
            <v>46023</v>
          </cell>
        </row>
        <row r="240">
          <cell r="A240">
            <v>50711</v>
          </cell>
          <cell r="C240">
            <v>46023</v>
          </cell>
        </row>
        <row r="241">
          <cell r="A241">
            <v>50724</v>
          </cell>
          <cell r="C241">
            <v>46041</v>
          </cell>
        </row>
        <row r="242">
          <cell r="A242">
            <v>50729</v>
          </cell>
          <cell r="C242">
            <v>46069</v>
          </cell>
        </row>
        <row r="243">
          <cell r="A243">
            <v>50764</v>
          </cell>
          <cell r="C243">
            <v>46069</v>
          </cell>
        </row>
        <row r="244">
          <cell r="A244">
            <v>50771</v>
          </cell>
          <cell r="C244">
            <v>46070</v>
          </cell>
        </row>
        <row r="245">
          <cell r="A245">
            <v>50822</v>
          </cell>
          <cell r="C245">
            <v>46115</v>
          </cell>
        </row>
        <row r="246">
          <cell r="A246">
            <v>50823</v>
          </cell>
          <cell r="C246">
            <v>46115</v>
          </cell>
        </row>
        <row r="247">
          <cell r="A247">
            <v>50868</v>
          </cell>
          <cell r="C247">
            <v>46133</v>
          </cell>
        </row>
        <row r="248">
          <cell r="A248">
            <v>50881</v>
          </cell>
          <cell r="C248">
            <v>46143</v>
          </cell>
        </row>
        <row r="249">
          <cell r="A249">
            <v>50891</v>
          </cell>
          <cell r="C249">
            <v>46167</v>
          </cell>
        </row>
        <row r="250">
          <cell r="A250">
            <v>50930</v>
          </cell>
          <cell r="C250">
            <v>46177</v>
          </cell>
        </row>
        <row r="251">
          <cell r="A251">
            <v>51020</v>
          </cell>
          <cell r="C251">
            <v>46206</v>
          </cell>
        </row>
        <row r="252">
          <cell r="A252">
            <v>51055</v>
          </cell>
          <cell r="C252">
            <v>46272</v>
          </cell>
        </row>
        <row r="253">
          <cell r="A253">
            <v>51076</v>
          </cell>
          <cell r="C253">
            <v>46272</v>
          </cell>
        </row>
        <row r="254">
          <cell r="A254">
            <v>51089</v>
          </cell>
          <cell r="C254">
            <v>46307</v>
          </cell>
        </row>
        <row r="255">
          <cell r="A255">
            <v>51094</v>
          </cell>
          <cell r="C255">
            <v>46307</v>
          </cell>
        </row>
        <row r="256">
          <cell r="A256">
            <v>51129</v>
          </cell>
          <cell r="C256">
            <v>46328</v>
          </cell>
        </row>
        <row r="257">
          <cell r="A257">
            <v>51136</v>
          </cell>
          <cell r="C257">
            <v>46337</v>
          </cell>
        </row>
        <row r="258">
          <cell r="A258">
            <v>51179</v>
          </cell>
          <cell r="C258">
            <v>46341</v>
          </cell>
        </row>
        <row r="259">
          <cell r="A259">
            <v>51180</v>
          </cell>
          <cell r="C259">
            <v>46352</v>
          </cell>
        </row>
        <row r="260">
          <cell r="A260">
            <v>51225</v>
          </cell>
          <cell r="C260">
            <v>46381</v>
          </cell>
        </row>
        <row r="261">
          <cell r="A261">
            <v>51247</v>
          </cell>
          <cell r="C261">
            <v>46381</v>
          </cell>
        </row>
        <row r="262">
          <cell r="A262">
            <v>51257</v>
          </cell>
          <cell r="C262">
            <v>46388</v>
          </cell>
        </row>
        <row r="263">
          <cell r="A263">
            <v>51287</v>
          </cell>
          <cell r="C263">
            <v>46388</v>
          </cell>
        </row>
        <row r="264">
          <cell r="A264">
            <v>51386</v>
          </cell>
          <cell r="C264">
            <v>46405</v>
          </cell>
        </row>
        <row r="265">
          <cell r="A265">
            <v>51421</v>
          </cell>
          <cell r="C265">
            <v>46426</v>
          </cell>
        </row>
        <row r="266">
          <cell r="A266">
            <v>51442</v>
          </cell>
          <cell r="C266">
            <v>46427</v>
          </cell>
        </row>
        <row r="267">
          <cell r="A267">
            <v>51455</v>
          </cell>
          <cell r="C267">
            <v>46433</v>
          </cell>
        </row>
        <row r="268">
          <cell r="A268">
            <v>51460</v>
          </cell>
          <cell r="C268">
            <v>46472</v>
          </cell>
        </row>
        <row r="269">
          <cell r="A269">
            <v>51495</v>
          </cell>
          <cell r="C269">
            <v>46472</v>
          </cell>
        </row>
        <row r="270">
          <cell r="A270">
            <v>51502</v>
          </cell>
          <cell r="C270">
            <v>46498</v>
          </cell>
        </row>
        <row r="271">
          <cell r="A271">
            <v>51564</v>
          </cell>
          <cell r="C271">
            <v>46508</v>
          </cell>
        </row>
        <row r="272">
          <cell r="A272">
            <v>51565</v>
          </cell>
          <cell r="C272">
            <v>46534</v>
          </cell>
        </row>
        <row r="273">
          <cell r="A273">
            <v>51610</v>
          </cell>
          <cell r="C273">
            <v>46538</v>
          </cell>
        </row>
        <row r="274">
          <cell r="A274">
            <v>51612</v>
          </cell>
          <cell r="C274">
            <v>46573</v>
          </cell>
        </row>
        <row r="275">
          <cell r="A275">
            <v>51622</v>
          </cell>
          <cell r="C275">
            <v>46636</v>
          </cell>
        </row>
        <row r="276">
          <cell r="A276">
            <v>51672</v>
          </cell>
          <cell r="C276">
            <v>46637</v>
          </cell>
        </row>
        <row r="277">
          <cell r="A277">
            <v>51751</v>
          </cell>
          <cell r="C277">
            <v>46671</v>
          </cell>
        </row>
        <row r="278">
          <cell r="A278">
            <v>51786</v>
          </cell>
          <cell r="C278">
            <v>46672</v>
          </cell>
        </row>
        <row r="279">
          <cell r="A279">
            <v>51807</v>
          </cell>
          <cell r="C279">
            <v>46693</v>
          </cell>
        </row>
        <row r="280">
          <cell r="A280">
            <v>51820</v>
          </cell>
          <cell r="C280">
            <v>46702</v>
          </cell>
        </row>
        <row r="281">
          <cell r="A281">
            <v>51825</v>
          </cell>
          <cell r="C281">
            <v>46706</v>
          </cell>
        </row>
        <row r="282">
          <cell r="A282">
            <v>51860</v>
          </cell>
          <cell r="C282">
            <v>46716</v>
          </cell>
        </row>
        <row r="283">
          <cell r="A283">
            <v>51867</v>
          </cell>
          <cell r="C283">
            <v>46745</v>
          </cell>
        </row>
        <row r="284">
          <cell r="A284">
            <v>51914</v>
          </cell>
          <cell r="C284">
            <v>46746</v>
          </cell>
        </row>
        <row r="285">
          <cell r="A285">
            <v>51915</v>
          </cell>
          <cell r="C285">
            <v>46753</v>
          </cell>
        </row>
        <row r="286">
          <cell r="A286">
            <v>51960</v>
          </cell>
          <cell r="C286">
            <v>46769</v>
          </cell>
        </row>
        <row r="287">
          <cell r="A287">
            <v>51977</v>
          </cell>
          <cell r="C287">
            <v>46804</v>
          </cell>
        </row>
        <row r="288">
          <cell r="A288">
            <v>51987</v>
          </cell>
          <cell r="C288">
            <v>46811</v>
          </cell>
        </row>
        <row r="289">
          <cell r="A289">
            <v>52022</v>
          </cell>
          <cell r="C289">
            <v>46812</v>
          </cell>
        </row>
        <row r="290">
          <cell r="A290">
            <v>52116</v>
          </cell>
          <cell r="C290">
            <v>46857</v>
          </cell>
        </row>
        <row r="291">
          <cell r="A291">
            <v>52151</v>
          </cell>
          <cell r="C291">
            <v>46857</v>
          </cell>
        </row>
        <row r="292">
          <cell r="A292">
            <v>52172</v>
          </cell>
          <cell r="C292">
            <v>46864</v>
          </cell>
        </row>
        <row r="293">
          <cell r="A293">
            <v>52185</v>
          </cell>
          <cell r="C293">
            <v>46874</v>
          </cell>
        </row>
        <row r="294">
          <cell r="A294">
            <v>52190</v>
          </cell>
          <cell r="C294">
            <v>46902</v>
          </cell>
        </row>
        <row r="295">
          <cell r="A295">
            <v>52225</v>
          </cell>
          <cell r="C295">
            <v>46919</v>
          </cell>
        </row>
        <row r="296">
          <cell r="A296">
            <v>52232</v>
          </cell>
          <cell r="C296">
            <v>46938</v>
          </cell>
        </row>
        <row r="297">
          <cell r="A297">
            <v>52271</v>
          </cell>
          <cell r="C297">
            <v>47000</v>
          </cell>
        </row>
        <row r="298">
          <cell r="A298">
            <v>52272</v>
          </cell>
          <cell r="C298">
            <v>47003</v>
          </cell>
        </row>
        <row r="299">
          <cell r="A299">
            <v>52317</v>
          </cell>
          <cell r="C299">
            <v>47035</v>
          </cell>
        </row>
        <row r="300">
          <cell r="A300">
            <v>52342</v>
          </cell>
          <cell r="C300">
            <v>47038</v>
          </cell>
        </row>
        <row r="301">
          <cell r="A301">
            <v>52352</v>
          </cell>
          <cell r="C301">
            <v>47059</v>
          </cell>
        </row>
        <row r="302">
          <cell r="A302">
            <v>52379</v>
          </cell>
          <cell r="C302">
            <v>47072</v>
          </cell>
        </row>
        <row r="303">
          <cell r="A303">
            <v>52481</v>
          </cell>
          <cell r="C303">
            <v>47080</v>
          </cell>
        </row>
        <row r="304">
          <cell r="A304">
            <v>52516</v>
          </cell>
          <cell r="C304">
            <v>47112</v>
          </cell>
        </row>
        <row r="305">
          <cell r="A305">
            <v>52537</v>
          </cell>
          <cell r="C305">
            <v>47112</v>
          </cell>
        </row>
        <row r="306">
          <cell r="A306">
            <v>52550</v>
          </cell>
          <cell r="C306">
            <v>47119</v>
          </cell>
        </row>
        <row r="307">
          <cell r="A307">
            <v>52555</v>
          </cell>
          <cell r="C307">
            <v>47119</v>
          </cell>
        </row>
        <row r="308">
          <cell r="A308">
            <v>52590</v>
          </cell>
          <cell r="C308">
            <v>47133</v>
          </cell>
        </row>
        <row r="309">
          <cell r="A309">
            <v>52597</v>
          </cell>
          <cell r="C309">
            <v>47161</v>
          </cell>
        </row>
        <row r="310">
          <cell r="A310">
            <v>52656</v>
          </cell>
          <cell r="C310">
            <v>47162</v>
          </cell>
        </row>
        <row r="311">
          <cell r="A311">
            <v>52657</v>
          </cell>
          <cell r="C311">
            <v>47168</v>
          </cell>
        </row>
        <row r="312">
          <cell r="A312">
            <v>52702</v>
          </cell>
          <cell r="C312">
            <v>47207</v>
          </cell>
        </row>
        <row r="313">
          <cell r="A313">
            <v>52708</v>
          </cell>
          <cell r="C313">
            <v>47207</v>
          </cell>
        </row>
        <row r="314">
          <cell r="A314">
            <v>52718</v>
          </cell>
          <cell r="C314">
            <v>47229</v>
          </cell>
        </row>
        <row r="315">
          <cell r="A315">
            <v>52764</v>
          </cell>
          <cell r="C315">
            <v>47239</v>
          </cell>
        </row>
        <row r="316">
          <cell r="A316">
            <v>52847</v>
          </cell>
          <cell r="C316">
            <v>47266</v>
          </cell>
        </row>
        <row r="317">
          <cell r="A317">
            <v>52882</v>
          </cell>
          <cell r="C317">
            <v>47269</v>
          </cell>
        </row>
        <row r="318">
          <cell r="A318">
            <v>52903</v>
          </cell>
          <cell r="C318">
            <v>47303</v>
          </cell>
        </row>
        <row r="319">
          <cell r="A319">
            <v>52916</v>
          </cell>
          <cell r="C319">
            <v>47364</v>
          </cell>
        </row>
        <row r="320">
          <cell r="A320">
            <v>52921</v>
          </cell>
          <cell r="C320">
            <v>47368</v>
          </cell>
        </row>
        <row r="321">
          <cell r="A321">
            <v>52956</v>
          </cell>
          <cell r="C321">
            <v>47399</v>
          </cell>
        </row>
        <row r="322">
          <cell r="A322">
            <v>52963</v>
          </cell>
          <cell r="C322">
            <v>47403</v>
          </cell>
        </row>
        <row r="323">
          <cell r="A323">
            <v>53013</v>
          </cell>
          <cell r="C323">
            <v>47424</v>
          </cell>
        </row>
        <row r="324">
          <cell r="A324">
            <v>53014</v>
          </cell>
          <cell r="C324">
            <v>47434</v>
          </cell>
        </row>
        <row r="325">
          <cell r="A325">
            <v>53059</v>
          </cell>
          <cell r="C325">
            <v>47437</v>
          </cell>
        </row>
        <row r="326">
          <cell r="A326">
            <v>53073</v>
          </cell>
          <cell r="C326">
            <v>47444</v>
          </cell>
        </row>
        <row r="327">
          <cell r="A327">
            <v>53083</v>
          </cell>
          <cell r="C327">
            <v>47477</v>
          </cell>
        </row>
        <row r="328">
          <cell r="A328">
            <v>53121</v>
          </cell>
          <cell r="C328">
            <v>47477</v>
          </cell>
        </row>
        <row r="329">
          <cell r="A329">
            <v>53212</v>
          </cell>
          <cell r="C329">
            <v>47484</v>
          </cell>
        </row>
        <row r="330">
          <cell r="A330">
            <v>53247</v>
          </cell>
          <cell r="C330">
            <v>47484</v>
          </cell>
        </row>
        <row r="331">
          <cell r="A331">
            <v>53268</v>
          </cell>
          <cell r="C331">
            <v>47504</v>
          </cell>
        </row>
        <row r="332">
          <cell r="A332">
            <v>53281</v>
          </cell>
          <cell r="C332">
            <v>47532</v>
          </cell>
        </row>
        <row r="333">
          <cell r="A333">
            <v>53286</v>
          </cell>
          <cell r="C333">
            <v>47546</v>
          </cell>
        </row>
        <row r="334">
          <cell r="A334">
            <v>53321</v>
          </cell>
          <cell r="C334">
            <v>47547</v>
          </cell>
        </row>
        <row r="335">
          <cell r="A335">
            <v>53328</v>
          </cell>
          <cell r="C335">
            <v>47592</v>
          </cell>
        </row>
        <row r="336">
          <cell r="A336">
            <v>53363</v>
          </cell>
          <cell r="C336">
            <v>47592</v>
          </cell>
        </row>
        <row r="337">
          <cell r="A337">
            <v>53364</v>
          </cell>
          <cell r="C337">
            <v>47594</v>
          </cell>
        </row>
        <row r="338">
          <cell r="A338">
            <v>53409</v>
          </cell>
          <cell r="C338">
            <v>47604</v>
          </cell>
        </row>
        <row r="339">
          <cell r="A339">
            <v>53438</v>
          </cell>
          <cell r="C339">
            <v>47630</v>
          </cell>
        </row>
        <row r="340">
          <cell r="A340">
            <v>53448</v>
          </cell>
          <cell r="C340">
            <v>47654</v>
          </cell>
        </row>
        <row r="341">
          <cell r="A341">
            <v>53471</v>
          </cell>
          <cell r="C341">
            <v>47668</v>
          </cell>
        </row>
        <row r="342">
          <cell r="A342">
            <v>53577</v>
          </cell>
          <cell r="C342">
            <v>47728</v>
          </cell>
        </row>
        <row r="343">
          <cell r="A343">
            <v>53612</v>
          </cell>
          <cell r="C343">
            <v>47733</v>
          </cell>
        </row>
        <row r="344">
          <cell r="A344">
            <v>53633</v>
          </cell>
          <cell r="C344">
            <v>47768</v>
          </cell>
        </row>
        <row r="345">
          <cell r="A345">
            <v>53646</v>
          </cell>
          <cell r="C345">
            <v>47770</v>
          </cell>
        </row>
        <row r="346">
          <cell r="A346">
            <v>53651</v>
          </cell>
          <cell r="C346">
            <v>47789</v>
          </cell>
        </row>
        <row r="347">
          <cell r="A347">
            <v>53686</v>
          </cell>
          <cell r="C347">
            <v>47798</v>
          </cell>
        </row>
        <row r="348">
          <cell r="A348">
            <v>53693</v>
          </cell>
          <cell r="C348">
            <v>47802</v>
          </cell>
        </row>
        <row r="349">
          <cell r="A349">
            <v>53748</v>
          </cell>
          <cell r="C349">
            <v>47815</v>
          </cell>
        </row>
        <row r="350">
          <cell r="A350">
            <v>53749</v>
          </cell>
          <cell r="C350">
            <v>47842</v>
          </cell>
        </row>
        <row r="351">
          <cell r="A351">
            <v>53794</v>
          </cell>
          <cell r="C351">
            <v>47842</v>
          </cell>
        </row>
        <row r="352">
          <cell r="A352">
            <v>53803</v>
          </cell>
          <cell r="C352">
            <v>47849</v>
          </cell>
        </row>
        <row r="353">
          <cell r="A353">
            <v>53813</v>
          </cell>
          <cell r="C353">
            <v>47849</v>
          </cell>
        </row>
        <row r="354">
          <cell r="A354">
            <v>53856</v>
          </cell>
          <cell r="C354">
            <v>47868</v>
          </cell>
        </row>
        <row r="355">
          <cell r="A355">
            <v>53942</v>
          </cell>
          <cell r="C355">
            <v>47896</v>
          </cell>
        </row>
        <row r="356">
          <cell r="A356">
            <v>53977</v>
          </cell>
          <cell r="C356">
            <v>47903</v>
          </cell>
        </row>
        <row r="357">
          <cell r="A357">
            <v>53998</v>
          </cell>
          <cell r="C357">
            <v>47904</v>
          </cell>
        </row>
        <row r="358">
          <cell r="A358">
            <v>54011</v>
          </cell>
          <cell r="C358">
            <v>47949</v>
          </cell>
        </row>
        <row r="359">
          <cell r="A359">
            <v>54016</v>
          </cell>
          <cell r="C359">
            <v>47949</v>
          </cell>
        </row>
        <row r="360">
          <cell r="A360">
            <v>54051</v>
          </cell>
          <cell r="C360">
            <v>47959</v>
          </cell>
        </row>
        <row r="361">
          <cell r="A361">
            <v>54058</v>
          </cell>
          <cell r="C361">
            <v>47969</v>
          </cell>
        </row>
        <row r="362">
          <cell r="A362">
            <v>54105</v>
          </cell>
          <cell r="C362">
            <v>47994</v>
          </cell>
        </row>
        <row r="363">
          <cell r="A363">
            <v>54106</v>
          </cell>
          <cell r="C363">
            <v>48011</v>
          </cell>
        </row>
        <row r="364">
          <cell r="A364">
            <v>54151</v>
          </cell>
          <cell r="C364">
            <v>48033</v>
          </cell>
        </row>
        <row r="365">
          <cell r="A365">
            <v>54169</v>
          </cell>
          <cell r="C365">
            <v>48092</v>
          </cell>
        </row>
        <row r="366">
          <cell r="A366">
            <v>54179</v>
          </cell>
          <cell r="C366">
            <v>48098</v>
          </cell>
        </row>
        <row r="367">
          <cell r="A367">
            <v>54213</v>
          </cell>
          <cell r="C367">
            <v>48133</v>
          </cell>
        </row>
        <row r="368">
          <cell r="A368">
            <v>54308</v>
          </cell>
          <cell r="C368">
            <v>48134</v>
          </cell>
        </row>
        <row r="369">
          <cell r="A369">
            <v>54343</v>
          </cell>
          <cell r="C369">
            <v>48154</v>
          </cell>
        </row>
        <row r="370">
          <cell r="A370">
            <v>54364</v>
          </cell>
          <cell r="C370">
            <v>48163</v>
          </cell>
        </row>
        <row r="371">
          <cell r="A371">
            <v>54377</v>
          </cell>
          <cell r="C371">
            <v>48167</v>
          </cell>
        </row>
        <row r="372">
          <cell r="A372">
            <v>54382</v>
          </cell>
          <cell r="C372">
            <v>48179</v>
          </cell>
        </row>
        <row r="373">
          <cell r="A373">
            <v>54417</v>
          </cell>
          <cell r="C373">
            <v>48207</v>
          </cell>
        </row>
        <row r="374">
          <cell r="A374">
            <v>54424</v>
          </cell>
          <cell r="C374">
            <v>48207</v>
          </cell>
        </row>
        <row r="375">
          <cell r="A375">
            <v>54483</v>
          </cell>
          <cell r="C375">
            <v>48214</v>
          </cell>
        </row>
        <row r="376">
          <cell r="A376">
            <v>54484</v>
          </cell>
          <cell r="C376">
            <v>48214</v>
          </cell>
        </row>
        <row r="377">
          <cell r="A377">
            <v>54529</v>
          </cell>
          <cell r="C377">
            <v>48232</v>
          </cell>
        </row>
        <row r="378">
          <cell r="A378">
            <v>54534</v>
          </cell>
          <cell r="C378">
            <v>48253</v>
          </cell>
        </row>
        <row r="379">
          <cell r="A379">
            <v>54544</v>
          </cell>
          <cell r="C379">
            <v>48254</v>
          </cell>
        </row>
        <row r="380">
          <cell r="A380">
            <v>54591</v>
          </cell>
          <cell r="C380">
            <v>48260</v>
          </cell>
        </row>
        <row r="381">
          <cell r="A381">
            <v>54673</v>
          </cell>
          <cell r="C381">
            <v>48299</v>
          </cell>
        </row>
        <row r="382">
          <cell r="A382">
            <v>54708</v>
          </cell>
          <cell r="C382">
            <v>48299</v>
          </cell>
        </row>
        <row r="383">
          <cell r="A383">
            <v>54729</v>
          </cell>
          <cell r="C383">
            <v>48325</v>
          </cell>
        </row>
        <row r="384">
          <cell r="A384">
            <v>54742</v>
          </cell>
          <cell r="C384">
            <v>48335</v>
          </cell>
        </row>
        <row r="385">
          <cell r="A385">
            <v>54747</v>
          </cell>
          <cell r="C385">
            <v>48361</v>
          </cell>
        </row>
        <row r="386">
          <cell r="A386">
            <v>54782</v>
          </cell>
          <cell r="C386">
            <v>48365</v>
          </cell>
        </row>
        <row r="387">
          <cell r="A387">
            <v>54789</v>
          </cell>
          <cell r="C387">
            <v>48400</v>
          </cell>
        </row>
        <row r="388">
          <cell r="A388">
            <v>54840</v>
          </cell>
          <cell r="C388">
            <v>48463</v>
          </cell>
        </row>
        <row r="389">
          <cell r="A389">
            <v>54841</v>
          </cell>
          <cell r="C389">
            <v>48464</v>
          </cell>
        </row>
        <row r="390">
          <cell r="A390">
            <v>54886</v>
          </cell>
          <cell r="C390">
            <v>48498</v>
          </cell>
        </row>
        <row r="391">
          <cell r="A391">
            <v>54899</v>
          </cell>
          <cell r="C391">
            <v>48499</v>
          </cell>
        </row>
        <row r="392">
          <cell r="A392">
            <v>54909</v>
          </cell>
          <cell r="C392">
            <v>48520</v>
          </cell>
        </row>
        <row r="393">
          <cell r="A393">
            <v>54948</v>
          </cell>
          <cell r="C393">
            <v>48529</v>
          </cell>
        </row>
        <row r="394">
          <cell r="A394">
            <v>55038</v>
          </cell>
          <cell r="C394">
            <v>48533</v>
          </cell>
        </row>
        <row r="395">
          <cell r="A395">
            <v>55073</v>
          </cell>
          <cell r="C395">
            <v>48543</v>
          </cell>
        </row>
        <row r="396">
          <cell r="A396">
            <v>55094</v>
          </cell>
          <cell r="C396">
            <v>48572</v>
          </cell>
        </row>
        <row r="397">
          <cell r="A397">
            <v>55107</v>
          </cell>
          <cell r="C397">
            <v>48573</v>
          </cell>
        </row>
        <row r="398">
          <cell r="A398">
            <v>55112</v>
          </cell>
          <cell r="C398">
            <v>48580</v>
          </cell>
        </row>
        <row r="399">
          <cell r="A399">
            <v>55147</v>
          </cell>
          <cell r="C399">
            <v>48596</v>
          </cell>
        </row>
        <row r="400">
          <cell r="A400">
            <v>55154</v>
          </cell>
          <cell r="C400">
            <v>48631</v>
          </cell>
        </row>
        <row r="401">
          <cell r="A401">
            <v>55197</v>
          </cell>
          <cell r="C401">
            <v>48638</v>
          </cell>
        </row>
        <row r="402">
          <cell r="A402">
            <v>55198</v>
          </cell>
          <cell r="C402">
            <v>48639</v>
          </cell>
        </row>
        <row r="403">
          <cell r="A403">
            <v>55243</v>
          </cell>
          <cell r="C403">
            <v>48684</v>
          </cell>
        </row>
        <row r="404">
          <cell r="A404">
            <v>55264</v>
          </cell>
          <cell r="C404">
            <v>48684</v>
          </cell>
        </row>
        <row r="405">
          <cell r="A405">
            <v>55274</v>
          </cell>
          <cell r="C405">
            <v>48690</v>
          </cell>
        </row>
        <row r="406">
          <cell r="A406">
            <v>55305</v>
          </cell>
          <cell r="C406">
            <v>48700</v>
          </cell>
        </row>
        <row r="407">
          <cell r="A407">
            <v>55403</v>
          </cell>
          <cell r="C407">
            <v>48729</v>
          </cell>
        </row>
        <row r="408">
          <cell r="A408">
            <v>55438</v>
          </cell>
          <cell r="C408">
            <v>48746</v>
          </cell>
        </row>
        <row r="409">
          <cell r="A409">
            <v>55459</v>
          </cell>
          <cell r="C409">
            <v>48764</v>
          </cell>
        </row>
        <row r="410">
          <cell r="A410">
            <v>55472</v>
          </cell>
          <cell r="C410">
            <v>48827</v>
          </cell>
        </row>
        <row r="411">
          <cell r="A411">
            <v>55477</v>
          </cell>
          <cell r="C411">
            <v>48829</v>
          </cell>
        </row>
        <row r="412">
          <cell r="A412">
            <v>55512</v>
          </cell>
          <cell r="C412">
            <v>48862</v>
          </cell>
        </row>
        <row r="413">
          <cell r="A413">
            <v>55519</v>
          </cell>
          <cell r="C413">
            <v>48864</v>
          </cell>
        </row>
        <row r="414">
          <cell r="A414">
            <v>55582</v>
          </cell>
          <cell r="C414">
            <v>48885</v>
          </cell>
        </row>
        <row r="415">
          <cell r="A415">
            <v>55583</v>
          </cell>
          <cell r="C415">
            <v>48894</v>
          </cell>
        </row>
        <row r="416">
          <cell r="A416">
            <v>55628</v>
          </cell>
          <cell r="C416">
            <v>48898</v>
          </cell>
        </row>
        <row r="417">
          <cell r="A417">
            <v>55630</v>
          </cell>
          <cell r="C417">
            <v>48907</v>
          </cell>
        </row>
        <row r="418">
          <cell r="A418">
            <v>55640</v>
          </cell>
          <cell r="C418">
            <v>48938</v>
          </cell>
        </row>
        <row r="419">
          <cell r="A419">
            <v>55690</v>
          </cell>
          <cell r="C419">
            <v>48939</v>
          </cell>
        </row>
        <row r="420">
          <cell r="A420">
            <v>55769</v>
          </cell>
          <cell r="C420">
            <v>48945</v>
          </cell>
        </row>
        <row r="421">
          <cell r="A421">
            <v>55804</v>
          </cell>
          <cell r="C421">
            <v>48946</v>
          </cell>
        </row>
        <row r="422">
          <cell r="A422">
            <v>55825</v>
          </cell>
          <cell r="C422">
            <v>48960</v>
          </cell>
        </row>
        <row r="423">
          <cell r="A423">
            <v>55838</v>
          </cell>
          <cell r="C423">
            <v>48995</v>
          </cell>
        </row>
        <row r="424">
          <cell r="A424">
            <v>55843</v>
          </cell>
          <cell r="C424">
            <v>48995</v>
          </cell>
        </row>
        <row r="425">
          <cell r="A425">
            <v>55878</v>
          </cell>
          <cell r="C425">
            <v>48996</v>
          </cell>
        </row>
        <row r="426">
          <cell r="A426">
            <v>55885</v>
          </cell>
          <cell r="C426">
            <v>49041</v>
          </cell>
        </row>
        <row r="427">
          <cell r="A427">
            <v>55932</v>
          </cell>
          <cell r="C427">
            <v>49041</v>
          </cell>
        </row>
        <row r="428">
          <cell r="A428">
            <v>55933</v>
          </cell>
          <cell r="C428">
            <v>49055</v>
          </cell>
        </row>
        <row r="429">
          <cell r="A429">
            <v>55978</v>
          </cell>
          <cell r="C429">
            <v>49065</v>
          </cell>
        </row>
        <row r="430">
          <cell r="A430">
            <v>55995</v>
          </cell>
          <cell r="C430">
            <v>49093</v>
          </cell>
        </row>
        <row r="431">
          <cell r="A431">
            <v>56005</v>
          </cell>
          <cell r="C431">
            <v>49103</v>
          </cell>
        </row>
        <row r="432">
          <cell r="A432">
            <v>56040</v>
          </cell>
          <cell r="C432">
            <v>49129</v>
          </cell>
        </row>
        <row r="433">
          <cell r="A433">
            <v>56134</v>
          </cell>
          <cell r="C433">
            <v>49191</v>
          </cell>
        </row>
        <row r="434">
          <cell r="A434">
            <v>56169</v>
          </cell>
          <cell r="C434">
            <v>49194</v>
          </cell>
        </row>
        <row r="435">
          <cell r="A435">
            <v>56190</v>
          </cell>
          <cell r="C435">
            <v>49226</v>
          </cell>
        </row>
        <row r="436">
          <cell r="A436">
            <v>56203</v>
          </cell>
          <cell r="C436">
            <v>49229</v>
          </cell>
        </row>
        <row r="437">
          <cell r="A437">
            <v>56208</v>
          </cell>
          <cell r="C437">
            <v>49250</v>
          </cell>
        </row>
        <row r="438">
          <cell r="A438">
            <v>56243</v>
          </cell>
          <cell r="C438">
            <v>49263</v>
          </cell>
        </row>
        <row r="439">
          <cell r="A439">
            <v>56250</v>
          </cell>
          <cell r="C439">
            <v>49271</v>
          </cell>
        </row>
        <row r="440">
          <cell r="A440">
            <v>56289</v>
          </cell>
          <cell r="C440">
            <v>49303</v>
          </cell>
        </row>
        <row r="441">
          <cell r="A441">
            <v>56290</v>
          </cell>
          <cell r="C441">
            <v>49303</v>
          </cell>
        </row>
        <row r="442">
          <cell r="A442">
            <v>56335</v>
          </cell>
          <cell r="C442">
            <v>49310</v>
          </cell>
        </row>
        <row r="443">
          <cell r="A443">
            <v>56360</v>
          </cell>
          <cell r="C443">
            <v>49310</v>
          </cell>
        </row>
        <row r="444">
          <cell r="A444">
            <v>56370</v>
          </cell>
          <cell r="C444">
            <v>49324</v>
          </cell>
        </row>
        <row r="445">
          <cell r="A445">
            <v>56397</v>
          </cell>
          <cell r="C445">
            <v>49345</v>
          </cell>
        </row>
        <row r="446">
          <cell r="A446">
            <v>56499</v>
          </cell>
          <cell r="C446">
            <v>49346</v>
          </cell>
        </row>
        <row r="447">
          <cell r="A447">
            <v>56534</v>
          </cell>
          <cell r="C447">
            <v>49359</v>
          </cell>
        </row>
        <row r="448">
          <cell r="A448">
            <v>56555</v>
          </cell>
          <cell r="C448">
            <v>49391</v>
          </cell>
        </row>
        <row r="449">
          <cell r="A449">
            <v>56568</v>
          </cell>
          <cell r="C449">
            <v>49391</v>
          </cell>
        </row>
        <row r="450">
          <cell r="A450">
            <v>56573</v>
          </cell>
          <cell r="C450">
            <v>49420</v>
          </cell>
        </row>
        <row r="451">
          <cell r="A451">
            <v>56608</v>
          </cell>
          <cell r="C451">
            <v>49430</v>
          </cell>
        </row>
        <row r="452">
          <cell r="A452">
            <v>56615</v>
          </cell>
          <cell r="C452">
            <v>49453</v>
          </cell>
        </row>
        <row r="453">
          <cell r="A453">
            <v>56674</v>
          </cell>
          <cell r="C453">
            <v>49457</v>
          </cell>
        </row>
        <row r="454">
          <cell r="A454">
            <v>56675</v>
          </cell>
          <cell r="C454">
            <v>49494</v>
          </cell>
        </row>
        <row r="455">
          <cell r="A455">
            <v>56720</v>
          </cell>
          <cell r="C455">
            <v>49555</v>
          </cell>
        </row>
        <row r="456">
          <cell r="A456">
            <v>56725</v>
          </cell>
          <cell r="C456">
            <v>49559</v>
          </cell>
        </row>
        <row r="457">
          <cell r="A457">
            <v>56735</v>
          </cell>
          <cell r="C457">
            <v>49590</v>
          </cell>
        </row>
        <row r="458">
          <cell r="A458">
            <v>56782</v>
          </cell>
          <cell r="C458">
            <v>49594</v>
          </cell>
        </row>
        <row r="459">
          <cell r="A459">
            <v>56864</v>
          </cell>
          <cell r="C459">
            <v>49615</v>
          </cell>
        </row>
        <row r="460">
          <cell r="A460">
            <v>56899</v>
          </cell>
          <cell r="C460">
            <v>49625</v>
          </cell>
        </row>
        <row r="461">
          <cell r="A461">
            <v>56920</v>
          </cell>
          <cell r="C461">
            <v>49628</v>
          </cell>
        </row>
        <row r="462">
          <cell r="A462">
            <v>56933</v>
          </cell>
          <cell r="C462">
            <v>49635</v>
          </cell>
        </row>
        <row r="463">
          <cell r="A463">
            <v>56938</v>
          </cell>
          <cell r="C463">
            <v>49668</v>
          </cell>
        </row>
        <row r="464">
          <cell r="A464">
            <v>56973</v>
          </cell>
          <cell r="C464">
            <v>49668</v>
          </cell>
        </row>
        <row r="465">
          <cell r="A465">
            <v>56980</v>
          </cell>
          <cell r="C465">
            <v>49675</v>
          </cell>
        </row>
        <row r="466">
          <cell r="A466">
            <v>57024</v>
          </cell>
          <cell r="C466">
            <v>49675</v>
          </cell>
        </row>
        <row r="467">
          <cell r="A467">
            <v>57025</v>
          </cell>
          <cell r="C467">
            <v>49695</v>
          </cell>
        </row>
        <row r="468">
          <cell r="A468">
            <v>57070</v>
          </cell>
          <cell r="C468">
            <v>49723</v>
          </cell>
        </row>
        <row r="469">
          <cell r="A469">
            <v>57091</v>
          </cell>
          <cell r="C469">
            <v>49730</v>
          </cell>
        </row>
        <row r="470">
          <cell r="A470">
            <v>57101</v>
          </cell>
          <cell r="C470">
            <v>49731</v>
          </cell>
        </row>
        <row r="471">
          <cell r="A471">
            <v>57132</v>
          </cell>
          <cell r="C471">
            <v>49776</v>
          </cell>
        </row>
        <row r="472">
          <cell r="A472">
            <v>57230</v>
          </cell>
          <cell r="C472">
            <v>49776</v>
          </cell>
        </row>
        <row r="473">
          <cell r="A473">
            <v>57265</v>
          </cell>
          <cell r="C473">
            <v>49786</v>
          </cell>
        </row>
        <row r="474">
          <cell r="A474">
            <v>57286</v>
          </cell>
          <cell r="C474">
            <v>49796</v>
          </cell>
        </row>
        <row r="475">
          <cell r="A475">
            <v>57299</v>
          </cell>
          <cell r="C475">
            <v>49821</v>
          </cell>
        </row>
        <row r="476">
          <cell r="A476">
            <v>57304</v>
          </cell>
          <cell r="C476">
            <v>49838</v>
          </cell>
        </row>
        <row r="477">
          <cell r="A477">
            <v>57339</v>
          </cell>
          <cell r="C477">
            <v>49860</v>
          </cell>
        </row>
        <row r="478">
          <cell r="A478">
            <v>57346</v>
          </cell>
          <cell r="C478">
            <v>49919</v>
          </cell>
        </row>
        <row r="479">
          <cell r="A479">
            <v>57409</v>
          </cell>
          <cell r="C479">
            <v>49925</v>
          </cell>
        </row>
        <row r="480">
          <cell r="A480">
            <v>57410</v>
          </cell>
          <cell r="C480">
            <v>49960</v>
          </cell>
        </row>
        <row r="481">
          <cell r="A481">
            <v>57455</v>
          </cell>
          <cell r="C481">
            <v>49961</v>
          </cell>
        </row>
        <row r="482">
          <cell r="A482">
            <v>57456</v>
          </cell>
          <cell r="C482">
            <v>49981</v>
          </cell>
        </row>
        <row r="483">
          <cell r="A483">
            <v>57466</v>
          </cell>
          <cell r="C483">
            <v>49990</v>
          </cell>
        </row>
        <row r="484">
          <cell r="A484">
            <v>57517</v>
          </cell>
          <cell r="C484">
            <v>49994</v>
          </cell>
        </row>
        <row r="485">
          <cell r="A485">
            <v>57595</v>
          </cell>
          <cell r="C485">
            <v>50006</v>
          </cell>
        </row>
        <row r="486">
          <cell r="A486">
            <v>57630</v>
          </cell>
          <cell r="C486">
            <v>50034</v>
          </cell>
        </row>
        <row r="487">
          <cell r="A487">
            <v>57651</v>
          </cell>
          <cell r="C487">
            <v>50034</v>
          </cell>
        </row>
        <row r="488">
          <cell r="A488">
            <v>57664</v>
          </cell>
          <cell r="C488">
            <v>50041</v>
          </cell>
        </row>
        <row r="489">
          <cell r="A489">
            <v>57669</v>
          </cell>
          <cell r="C489">
            <v>50041</v>
          </cell>
        </row>
        <row r="490">
          <cell r="A490">
            <v>57704</v>
          </cell>
          <cell r="C490">
            <v>50059</v>
          </cell>
        </row>
        <row r="491">
          <cell r="A491">
            <v>57711</v>
          </cell>
          <cell r="C491">
            <v>50087</v>
          </cell>
        </row>
        <row r="492">
          <cell r="A492">
            <v>57766</v>
          </cell>
          <cell r="C492">
            <v>50087</v>
          </cell>
        </row>
        <row r="493">
          <cell r="A493">
            <v>57767</v>
          </cell>
          <cell r="C493">
            <v>50088</v>
          </cell>
        </row>
        <row r="494">
          <cell r="A494">
            <v>57812</v>
          </cell>
          <cell r="C494">
            <v>50133</v>
          </cell>
        </row>
        <row r="495">
          <cell r="A495">
            <v>57821</v>
          </cell>
          <cell r="C495">
            <v>50151</v>
          </cell>
        </row>
        <row r="496">
          <cell r="A496">
            <v>57831</v>
          </cell>
          <cell r="C496">
            <v>50161</v>
          </cell>
        </row>
        <row r="497">
          <cell r="A497">
            <v>57874</v>
          </cell>
          <cell r="C497">
            <v>50185</v>
          </cell>
        </row>
        <row r="498">
          <cell r="A498">
            <v>57960</v>
          </cell>
          <cell r="C498">
            <v>50195</v>
          </cell>
        </row>
        <row r="499">
          <cell r="A499">
            <v>57995</v>
          </cell>
          <cell r="C499">
            <v>50224</v>
          </cell>
        </row>
        <row r="500">
          <cell r="A500">
            <v>58016</v>
          </cell>
          <cell r="C500">
            <v>50290</v>
          </cell>
        </row>
        <row r="501">
          <cell r="A501">
            <v>58029</v>
          </cell>
          <cell r="C501">
            <v>50290</v>
          </cell>
        </row>
        <row r="502">
          <cell r="A502">
            <v>58034</v>
          </cell>
          <cell r="C502">
            <v>50325</v>
          </cell>
        </row>
        <row r="503">
          <cell r="A503">
            <v>58069</v>
          </cell>
          <cell r="C503">
            <v>50325</v>
          </cell>
        </row>
        <row r="504">
          <cell r="A504">
            <v>58076</v>
          </cell>
          <cell r="C504">
            <v>50346</v>
          </cell>
        </row>
        <row r="505">
          <cell r="A505">
            <v>58116</v>
          </cell>
          <cell r="C505">
            <v>50355</v>
          </cell>
        </row>
        <row r="506">
          <cell r="A506">
            <v>58117</v>
          </cell>
          <cell r="C506">
            <v>50359</v>
          </cell>
        </row>
        <row r="507">
          <cell r="A507">
            <v>58162</v>
          </cell>
          <cell r="C507">
            <v>50370</v>
          </cell>
        </row>
        <row r="508">
          <cell r="A508">
            <v>58186</v>
          </cell>
          <cell r="C508">
            <v>50399</v>
          </cell>
        </row>
        <row r="509">
          <cell r="A509">
            <v>58196</v>
          </cell>
          <cell r="C509">
            <v>50399</v>
          </cell>
        </row>
        <row r="510">
          <cell r="A510">
            <v>58224</v>
          </cell>
          <cell r="C510">
            <v>50406</v>
          </cell>
        </row>
        <row r="511">
          <cell r="A511">
            <v>58325</v>
          </cell>
          <cell r="C511">
            <v>50406</v>
          </cell>
        </row>
        <row r="512">
          <cell r="A512">
            <v>58360</v>
          </cell>
          <cell r="C512">
            <v>50423</v>
          </cell>
        </row>
        <row r="513">
          <cell r="A513">
            <v>58381</v>
          </cell>
          <cell r="C513">
            <v>50451</v>
          </cell>
        </row>
        <row r="514">
          <cell r="A514">
            <v>58394</v>
          </cell>
          <cell r="C514">
            <v>50472</v>
          </cell>
        </row>
        <row r="515">
          <cell r="A515">
            <v>58399</v>
          </cell>
          <cell r="C515">
            <v>50473</v>
          </cell>
        </row>
        <row r="516">
          <cell r="A516">
            <v>58434</v>
          </cell>
          <cell r="C516">
            <v>50516</v>
          </cell>
        </row>
        <row r="517">
          <cell r="A517">
            <v>58441</v>
          </cell>
          <cell r="C517">
            <v>50518</v>
          </cell>
        </row>
        <row r="518">
          <cell r="A518">
            <v>58501</v>
          </cell>
          <cell r="C518">
            <v>50526</v>
          </cell>
        </row>
        <row r="519">
          <cell r="A519">
            <v>58502</v>
          </cell>
          <cell r="C519">
            <v>50556</v>
          </cell>
        </row>
        <row r="520">
          <cell r="A520">
            <v>58547</v>
          </cell>
          <cell r="C520">
            <v>50580</v>
          </cell>
        </row>
        <row r="521">
          <cell r="A521">
            <v>58552</v>
          </cell>
          <cell r="C521">
            <v>50591</v>
          </cell>
        </row>
        <row r="522">
          <cell r="A522">
            <v>58562</v>
          </cell>
          <cell r="C522">
            <v>50654</v>
          </cell>
        </row>
        <row r="523">
          <cell r="A523">
            <v>58609</v>
          </cell>
          <cell r="C523">
            <v>50655</v>
          </cell>
        </row>
        <row r="524">
          <cell r="A524">
            <v>58691</v>
          </cell>
          <cell r="C524">
            <v>50689</v>
          </cell>
        </row>
        <row r="525">
          <cell r="A525">
            <v>58726</v>
          </cell>
          <cell r="C525">
            <v>50690</v>
          </cell>
        </row>
        <row r="526">
          <cell r="A526">
            <v>58747</v>
          </cell>
          <cell r="C526">
            <v>50711</v>
          </cell>
        </row>
        <row r="527">
          <cell r="A527">
            <v>58760</v>
          </cell>
          <cell r="C527">
            <v>50720</v>
          </cell>
        </row>
        <row r="528">
          <cell r="A528">
            <v>58765</v>
          </cell>
          <cell r="C528">
            <v>50724</v>
          </cell>
        </row>
        <row r="529">
          <cell r="A529">
            <v>58800</v>
          </cell>
          <cell r="C529">
            <v>50734</v>
          </cell>
        </row>
        <row r="530">
          <cell r="A530">
            <v>58807</v>
          </cell>
          <cell r="C530">
            <v>50763</v>
          </cell>
        </row>
        <row r="531">
          <cell r="A531">
            <v>58858</v>
          </cell>
          <cell r="C531">
            <v>50764</v>
          </cell>
        </row>
        <row r="532">
          <cell r="A532">
            <v>58859</v>
          </cell>
          <cell r="C532">
            <v>50771</v>
          </cell>
        </row>
        <row r="533">
          <cell r="A533">
            <v>58904</v>
          </cell>
          <cell r="C533">
            <v>50787</v>
          </cell>
        </row>
        <row r="534">
          <cell r="A534">
            <v>58917</v>
          </cell>
          <cell r="C534">
            <v>50822</v>
          </cell>
        </row>
        <row r="535">
          <cell r="A535">
            <v>58927</v>
          </cell>
          <cell r="C535">
            <v>50822</v>
          </cell>
        </row>
        <row r="536">
          <cell r="A536">
            <v>58966</v>
          </cell>
          <cell r="C536">
            <v>50823</v>
          </cell>
        </row>
        <row r="537">
          <cell r="A537">
            <v>59056</v>
          </cell>
          <cell r="C537">
            <v>50868</v>
          </cell>
        </row>
        <row r="538">
          <cell r="A538">
            <v>59091</v>
          </cell>
          <cell r="C538">
            <v>50881</v>
          </cell>
        </row>
        <row r="539">
          <cell r="A539">
            <v>59112</v>
          </cell>
          <cell r="C539">
            <v>50891</v>
          </cell>
        </row>
        <row r="540">
          <cell r="A540">
            <v>59125</v>
          </cell>
          <cell r="C540">
            <v>50920</v>
          </cell>
        </row>
        <row r="541">
          <cell r="A541">
            <v>59130</v>
          </cell>
          <cell r="C541">
            <v>50930</v>
          </cell>
        </row>
        <row r="542">
          <cell r="A542">
            <v>59165</v>
          </cell>
          <cell r="C542">
            <v>50955</v>
          </cell>
        </row>
        <row r="543">
          <cell r="A543">
            <v>59172</v>
          </cell>
          <cell r="C543">
            <v>51018</v>
          </cell>
        </row>
        <row r="544">
          <cell r="A544">
            <v>59208</v>
          </cell>
          <cell r="C544">
            <v>51020</v>
          </cell>
        </row>
        <row r="545">
          <cell r="A545">
            <v>59209</v>
          </cell>
          <cell r="C545">
            <v>51053</v>
          </cell>
        </row>
        <row r="546">
          <cell r="A546">
            <v>59254</v>
          </cell>
          <cell r="C546">
            <v>51055</v>
          </cell>
        </row>
        <row r="547">
          <cell r="A547">
            <v>59282</v>
          </cell>
          <cell r="C547">
            <v>51076</v>
          </cell>
        </row>
        <row r="548">
          <cell r="A548">
            <v>59292</v>
          </cell>
          <cell r="C548">
            <v>51085</v>
          </cell>
        </row>
        <row r="549">
          <cell r="A549">
            <v>59316</v>
          </cell>
          <cell r="C549">
            <v>51089</v>
          </cell>
        </row>
        <row r="550">
          <cell r="A550">
            <v>59421</v>
          </cell>
          <cell r="C550">
            <v>51098</v>
          </cell>
        </row>
        <row r="551">
          <cell r="A551">
            <v>59456</v>
          </cell>
          <cell r="C551">
            <v>51129</v>
          </cell>
        </row>
        <row r="552">
          <cell r="A552">
            <v>59477</v>
          </cell>
          <cell r="C552">
            <v>51130</v>
          </cell>
        </row>
        <row r="553">
          <cell r="A553">
            <v>59490</v>
          </cell>
          <cell r="C553">
            <v>51136</v>
          </cell>
        </row>
        <row r="554">
          <cell r="A554">
            <v>59495</v>
          </cell>
          <cell r="C554">
            <v>51137</v>
          </cell>
        </row>
        <row r="555">
          <cell r="A555">
            <v>59530</v>
          </cell>
          <cell r="C555">
            <v>51151</v>
          </cell>
        </row>
        <row r="556">
          <cell r="A556">
            <v>59537</v>
          </cell>
          <cell r="C556">
            <v>51179</v>
          </cell>
        </row>
        <row r="557">
          <cell r="A557">
            <v>59593</v>
          </cell>
          <cell r="C557">
            <v>51180</v>
          </cell>
        </row>
        <row r="558">
          <cell r="A558">
            <v>59594</v>
          </cell>
          <cell r="C558">
            <v>51186</v>
          </cell>
        </row>
        <row r="559">
          <cell r="A559">
            <v>59639</v>
          </cell>
          <cell r="C559">
            <v>51225</v>
          </cell>
        </row>
        <row r="560">
          <cell r="A560">
            <v>59647</v>
          </cell>
          <cell r="C560">
            <v>51225</v>
          </cell>
        </row>
        <row r="561">
          <cell r="A561">
            <v>59657</v>
          </cell>
          <cell r="C561">
            <v>51247</v>
          </cell>
        </row>
        <row r="562">
          <cell r="A562">
            <v>59701</v>
          </cell>
          <cell r="C562">
            <v>51257</v>
          </cell>
        </row>
        <row r="563">
          <cell r="A563">
            <v>59786</v>
          </cell>
          <cell r="C563">
            <v>51284</v>
          </cell>
        </row>
        <row r="564">
          <cell r="A564">
            <v>59821</v>
          </cell>
          <cell r="C564">
            <v>51287</v>
          </cell>
        </row>
        <row r="565">
          <cell r="A565">
            <v>59842</v>
          </cell>
          <cell r="C565">
            <v>51321</v>
          </cell>
        </row>
        <row r="566">
          <cell r="A566">
            <v>59855</v>
          </cell>
          <cell r="C566">
            <v>51382</v>
          </cell>
        </row>
        <row r="567">
          <cell r="A567">
            <v>59860</v>
          </cell>
          <cell r="C567">
            <v>51386</v>
          </cell>
        </row>
        <row r="568">
          <cell r="A568">
            <v>59895</v>
          </cell>
          <cell r="C568">
            <v>51417</v>
          </cell>
        </row>
        <row r="569">
          <cell r="A569">
            <v>59902</v>
          </cell>
          <cell r="C569">
            <v>51421</v>
          </cell>
        </row>
        <row r="570">
          <cell r="A570">
            <v>59950</v>
          </cell>
          <cell r="C570">
            <v>51442</v>
          </cell>
        </row>
        <row r="571">
          <cell r="A571">
            <v>59951</v>
          </cell>
          <cell r="C571">
            <v>51452</v>
          </cell>
        </row>
        <row r="572">
          <cell r="A572">
            <v>59996</v>
          </cell>
          <cell r="C572">
            <v>51455</v>
          </cell>
        </row>
        <row r="573">
          <cell r="A573">
            <v>60013</v>
          </cell>
          <cell r="C573">
            <v>51462</v>
          </cell>
        </row>
        <row r="574">
          <cell r="A574">
            <v>60023</v>
          </cell>
          <cell r="C574">
            <v>51495</v>
          </cell>
        </row>
        <row r="575">
          <cell r="A575">
            <v>60058</v>
          </cell>
          <cell r="C575">
            <v>51495</v>
          </cell>
        </row>
        <row r="576">
          <cell r="A576">
            <v>60152</v>
          </cell>
          <cell r="C576">
            <v>51502</v>
          </cell>
        </row>
        <row r="577">
          <cell r="A577">
            <v>60187</v>
          </cell>
          <cell r="C577">
            <v>51502</v>
          </cell>
        </row>
        <row r="578">
          <cell r="A578">
            <v>60208</v>
          </cell>
          <cell r="C578">
            <v>51522</v>
          </cell>
        </row>
        <row r="579">
          <cell r="A579">
            <v>60221</v>
          </cell>
          <cell r="C579">
            <v>51550</v>
          </cell>
        </row>
        <row r="580">
          <cell r="A580">
            <v>60226</v>
          </cell>
          <cell r="C580">
            <v>51564</v>
          </cell>
        </row>
        <row r="581">
          <cell r="A581">
            <v>60261</v>
          </cell>
          <cell r="C581">
            <v>51565</v>
          </cell>
        </row>
        <row r="582">
          <cell r="A582">
            <v>60268</v>
          </cell>
          <cell r="C582">
            <v>51610</v>
          </cell>
        </row>
        <row r="583">
          <cell r="A583">
            <v>60307</v>
          </cell>
          <cell r="C583">
            <v>51610</v>
          </cell>
        </row>
        <row r="584">
          <cell r="A584">
            <v>60308</v>
          </cell>
          <cell r="C584">
            <v>51612</v>
          </cell>
        </row>
        <row r="585">
          <cell r="A585">
            <v>60353</v>
          </cell>
          <cell r="C585">
            <v>51622</v>
          </cell>
        </row>
        <row r="586">
          <cell r="A586">
            <v>60378</v>
          </cell>
          <cell r="C586">
            <v>51648</v>
          </cell>
        </row>
        <row r="587">
          <cell r="A587">
            <v>60388</v>
          </cell>
          <cell r="C587">
            <v>51672</v>
          </cell>
        </row>
        <row r="588">
          <cell r="A588">
            <v>60415</v>
          </cell>
          <cell r="C588">
            <v>51686</v>
          </cell>
        </row>
        <row r="589">
          <cell r="A589">
            <v>60517</v>
          </cell>
          <cell r="C589">
            <v>51746</v>
          </cell>
        </row>
        <row r="590">
          <cell r="A590">
            <v>60552</v>
          </cell>
          <cell r="C590">
            <v>51751</v>
          </cell>
        </row>
        <row r="591">
          <cell r="A591">
            <v>60573</v>
          </cell>
          <cell r="C591">
            <v>51786</v>
          </cell>
        </row>
        <row r="592">
          <cell r="A592">
            <v>60586</v>
          </cell>
          <cell r="C592">
            <v>51788</v>
          </cell>
        </row>
        <row r="593">
          <cell r="A593">
            <v>60591</v>
          </cell>
          <cell r="C593">
            <v>51807</v>
          </cell>
        </row>
        <row r="594">
          <cell r="A594">
            <v>60626</v>
          </cell>
          <cell r="C594">
            <v>51816</v>
          </cell>
        </row>
        <row r="595">
          <cell r="A595">
            <v>60633</v>
          </cell>
          <cell r="C595">
            <v>51820</v>
          </cell>
        </row>
        <row r="596">
          <cell r="A596">
            <v>60685</v>
          </cell>
          <cell r="C596">
            <v>51833</v>
          </cell>
        </row>
        <row r="597">
          <cell r="A597">
            <v>60686</v>
          </cell>
          <cell r="C597">
            <v>51860</v>
          </cell>
        </row>
        <row r="598">
          <cell r="A598">
            <v>60731</v>
          </cell>
          <cell r="C598">
            <v>51860</v>
          </cell>
        </row>
        <row r="599">
          <cell r="A599">
            <v>60743</v>
          </cell>
          <cell r="C599">
            <v>51867</v>
          </cell>
        </row>
        <row r="600">
          <cell r="A600">
            <v>60753</v>
          </cell>
          <cell r="C600">
            <v>51867</v>
          </cell>
        </row>
        <row r="601">
          <cell r="A601">
            <v>60793</v>
          </cell>
          <cell r="C601">
            <v>51886</v>
          </cell>
        </row>
        <row r="602">
          <cell r="A602">
            <v>60882</v>
          </cell>
          <cell r="C602">
            <v>51914</v>
          </cell>
        </row>
        <row r="603">
          <cell r="A603">
            <v>60917</v>
          </cell>
          <cell r="C603">
            <v>51914</v>
          </cell>
        </row>
        <row r="604">
          <cell r="A604">
            <v>60938</v>
          </cell>
          <cell r="C604">
            <v>51915</v>
          </cell>
        </row>
        <row r="605">
          <cell r="A605">
            <v>60951</v>
          </cell>
          <cell r="C605">
            <v>51960</v>
          </cell>
        </row>
        <row r="606">
          <cell r="A606">
            <v>60956</v>
          </cell>
          <cell r="C606">
            <v>51960</v>
          </cell>
        </row>
        <row r="607">
          <cell r="A607">
            <v>60991</v>
          </cell>
          <cell r="C607">
            <v>51977</v>
          </cell>
        </row>
        <row r="608">
          <cell r="A608">
            <v>60998</v>
          </cell>
          <cell r="C608">
            <v>51987</v>
          </cell>
        </row>
        <row r="609">
          <cell r="A609">
            <v>61042</v>
          </cell>
          <cell r="C609">
            <v>52012</v>
          </cell>
        </row>
        <row r="610">
          <cell r="A610">
            <v>61043</v>
          </cell>
          <cell r="C610">
            <v>52022</v>
          </cell>
        </row>
        <row r="611">
          <cell r="A611">
            <v>61088</v>
          </cell>
          <cell r="C611">
            <v>52051</v>
          </cell>
        </row>
        <row r="612">
          <cell r="A612">
            <v>61108</v>
          </cell>
          <cell r="C612">
            <v>52110</v>
          </cell>
        </row>
        <row r="613">
          <cell r="A613">
            <v>61118</v>
          </cell>
          <cell r="C613">
            <v>52116</v>
          </cell>
        </row>
        <row r="614">
          <cell r="A614">
            <v>61150</v>
          </cell>
          <cell r="C614">
            <v>52151</v>
          </cell>
        </row>
        <row r="615">
          <cell r="A615">
            <v>61247</v>
          </cell>
          <cell r="C615">
            <v>52152</v>
          </cell>
        </row>
        <row r="616">
          <cell r="A616">
            <v>61282</v>
          </cell>
          <cell r="C616">
            <v>52172</v>
          </cell>
        </row>
        <row r="617">
          <cell r="A617">
            <v>61303</v>
          </cell>
          <cell r="C617">
            <v>52181</v>
          </cell>
        </row>
        <row r="618">
          <cell r="A618">
            <v>61316</v>
          </cell>
          <cell r="C618">
            <v>52185</v>
          </cell>
        </row>
        <row r="619">
          <cell r="A619">
            <v>61321</v>
          </cell>
          <cell r="C619">
            <v>52197</v>
          </cell>
        </row>
        <row r="620">
          <cell r="A620">
            <v>61356</v>
          </cell>
          <cell r="C620">
            <v>52225</v>
          </cell>
        </row>
        <row r="621">
          <cell r="A621">
            <v>61363</v>
          </cell>
          <cell r="C621">
            <v>52225</v>
          </cell>
        </row>
        <row r="622">
          <cell r="A622">
            <v>61427</v>
          </cell>
          <cell r="C622">
            <v>52232</v>
          </cell>
        </row>
        <row r="623">
          <cell r="A623">
            <v>61428</v>
          </cell>
          <cell r="C623">
            <v>52232</v>
          </cell>
        </row>
        <row r="624">
          <cell r="A624">
            <v>61473</v>
          </cell>
          <cell r="C624">
            <v>52250</v>
          </cell>
        </row>
        <row r="625">
          <cell r="A625">
            <v>61474</v>
          </cell>
          <cell r="C625">
            <v>52271</v>
          </cell>
        </row>
        <row r="626">
          <cell r="A626">
            <v>61484</v>
          </cell>
          <cell r="C626">
            <v>52272</v>
          </cell>
        </row>
        <row r="627">
          <cell r="A627">
            <v>61535</v>
          </cell>
          <cell r="C627">
            <v>52278</v>
          </cell>
        </row>
        <row r="628">
          <cell r="A628">
            <v>61613</v>
          </cell>
          <cell r="C628">
            <v>52317</v>
          </cell>
        </row>
        <row r="629">
          <cell r="A629">
            <v>61648</v>
          </cell>
          <cell r="C629">
            <v>52317</v>
          </cell>
        </row>
        <row r="630">
          <cell r="A630">
            <v>61669</v>
          </cell>
          <cell r="C630">
            <v>52342</v>
          </cell>
        </row>
        <row r="631">
          <cell r="A631">
            <v>61682</v>
          </cell>
          <cell r="C631">
            <v>52352</v>
          </cell>
        </row>
        <row r="632">
          <cell r="A632">
            <v>61687</v>
          </cell>
          <cell r="C632">
            <v>52376</v>
          </cell>
        </row>
        <row r="633">
          <cell r="A633">
            <v>61722</v>
          </cell>
          <cell r="C633">
            <v>52379</v>
          </cell>
        </row>
        <row r="634">
          <cell r="A634">
            <v>61729</v>
          </cell>
          <cell r="C634">
            <v>52415</v>
          </cell>
        </row>
        <row r="635">
          <cell r="A635">
            <v>61784</v>
          </cell>
          <cell r="C635">
            <v>52481</v>
          </cell>
        </row>
        <row r="636">
          <cell r="A636">
            <v>61785</v>
          </cell>
          <cell r="C636">
            <v>52481</v>
          </cell>
        </row>
        <row r="637">
          <cell r="A637">
            <v>61830</v>
          </cell>
          <cell r="C637">
            <v>52516</v>
          </cell>
        </row>
        <row r="638">
          <cell r="A638">
            <v>61839</v>
          </cell>
          <cell r="C638">
            <v>52516</v>
          </cell>
        </row>
        <row r="639">
          <cell r="A639">
            <v>61849</v>
          </cell>
          <cell r="C639">
            <v>52537</v>
          </cell>
        </row>
        <row r="640">
          <cell r="A640">
            <v>61892</v>
          </cell>
          <cell r="C640">
            <v>52546</v>
          </cell>
        </row>
        <row r="641">
          <cell r="A641">
            <v>61978</v>
          </cell>
          <cell r="C641">
            <v>52550</v>
          </cell>
        </row>
        <row r="642">
          <cell r="A642">
            <v>62013</v>
          </cell>
          <cell r="C642">
            <v>52561</v>
          </cell>
        </row>
        <row r="643">
          <cell r="A643">
            <v>62034</v>
          </cell>
          <cell r="C643">
            <v>52590</v>
          </cell>
        </row>
        <row r="644">
          <cell r="A644">
            <v>62047</v>
          </cell>
          <cell r="C644">
            <v>52590</v>
          </cell>
        </row>
        <row r="645">
          <cell r="A645">
            <v>62052</v>
          </cell>
          <cell r="C645">
            <v>52597</v>
          </cell>
        </row>
        <row r="646">
          <cell r="A646">
            <v>62087</v>
          </cell>
          <cell r="C646">
            <v>52597</v>
          </cell>
        </row>
        <row r="647">
          <cell r="A647">
            <v>62094</v>
          </cell>
          <cell r="C647">
            <v>52614</v>
          </cell>
        </row>
        <row r="648">
          <cell r="A648">
            <v>62134</v>
          </cell>
          <cell r="C648">
            <v>52642</v>
          </cell>
        </row>
        <row r="649">
          <cell r="A649">
            <v>62135</v>
          </cell>
          <cell r="C649">
            <v>52656</v>
          </cell>
        </row>
        <row r="650">
          <cell r="A650">
            <v>62180</v>
          </cell>
          <cell r="C650">
            <v>52657</v>
          </cell>
        </row>
        <row r="651">
          <cell r="A651">
            <v>62204</v>
          </cell>
          <cell r="C651">
            <v>52702</v>
          </cell>
        </row>
        <row r="652">
          <cell r="A652">
            <v>62214</v>
          </cell>
          <cell r="C652">
            <v>52702</v>
          </cell>
        </row>
        <row r="653">
          <cell r="A653">
            <v>62242</v>
          </cell>
          <cell r="C653">
            <v>52708</v>
          </cell>
        </row>
        <row r="654">
          <cell r="A654">
            <v>62343</v>
          </cell>
          <cell r="C654">
            <v>52718</v>
          </cell>
        </row>
        <row r="655">
          <cell r="A655">
            <v>62378</v>
          </cell>
          <cell r="C655">
            <v>52747</v>
          </cell>
        </row>
        <row r="656">
          <cell r="C656">
            <v>52764</v>
          </cell>
        </row>
        <row r="657">
          <cell r="C657">
            <v>52782</v>
          </cell>
        </row>
        <row r="658">
          <cell r="C658">
            <v>52845</v>
          </cell>
        </row>
        <row r="659">
          <cell r="C659">
            <v>52847</v>
          </cell>
        </row>
        <row r="660">
          <cell r="C660">
            <v>52880</v>
          </cell>
        </row>
        <row r="661">
          <cell r="C661">
            <v>52882</v>
          </cell>
        </row>
        <row r="662">
          <cell r="C662">
            <v>52903</v>
          </cell>
        </row>
        <row r="663">
          <cell r="C663">
            <v>52912</v>
          </cell>
        </row>
        <row r="664">
          <cell r="C664">
            <v>52916</v>
          </cell>
        </row>
        <row r="665">
          <cell r="C665">
            <v>52925</v>
          </cell>
        </row>
        <row r="666">
          <cell r="C666">
            <v>52956</v>
          </cell>
        </row>
        <row r="667">
          <cell r="C667">
            <v>52957</v>
          </cell>
        </row>
        <row r="668">
          <cell r="C668">
            <v>52963</v>
          </cell>
        </row>
        <row r="669">
          <cell r="C669">
            <v>52964</v>
          </cell>
        </row>
        <row r="670">
          <cell r="C670">
            <v>52978</v>
          </cell>
        </row>
        <row r="671">
          <cell r="C671">
            <v>53013</v>
          </cell>
        </row>
        <row r="672">
          <cell r="C672">
            <v>53013</v>
          </cell>
        </row>
        <row r="673">
          <cell r="C673">
            <v>53014</v>
          </cell>
        </row>
        <row r="674">
          <cell r="C674">
            <v>53059</v>
          </cell>
        </row>
        <row r="675">
          <cell r="C675">
            <v>53059</v>
          </cell>
        </row>
        <row r="676">
          <cell r="C676">
            <v>53073</v>
          </cell>
        </row>
        <row r="677">
          <cell r="C677">
            <v>53083</v>
          </cell>
        </row>
        <row r="678">
          <cell r="C678">
            <v>53111</v>
          </cell>
        </row>
        <row r="679">
          <cell r="C679">
            <v>53121</v>
          </cell>
        </row>
        <row r="680">
          <cell r="C680">
            <v>53147</v>
          </cell>
        </row>
        <row r="681">
          <cell r="C681">
            <v>53209</v>
          </cell>
        </row>
        <row r="682">
          <cell r="C682">
            <v>53212</v>
          </cell>
        </row>
        <row r="683">
          <cell r="C683">
            <v>53244</v>
          </cell>
        </row>
        <row r="684">
          <cell r="C684">
            <v>53247</v>
          </cell>
        </row>
        <row r="685">
          <cell r="C685">
            <v>53268</v>
          </cell>
        </row>
        <row r="686">
          <cell r="C686">
            <v>53276</v>
          </cell>
        </row>
        <row r="687">
          <cell r="C687">
            <v>53281</v>
          </cell>
        </row>
        <row r="688">
          <cell r="C688">
            <v>53289</v>
          </cell>
        </row>
        <row r="689">
          <cell r="C689">
            <v>53321</v>
          </cell>
        </row>
        <row r="690">
          <cell r="C690">
            <v>53321</v>
          </cell>
        </row>
        <row r="691">
          <cell r="C691">
            <v>53328</v>
          </cell>
        </row>
        <row r="692">
          <cell r="C692">
            <v>53328</v>
          </cell>
        </row>
        <row r="693">
          <cell r="C693">
            <v>53342</v>
          </cell>
        </row>
        <row r="694">
          <cell r="C694">
            <v>53363</v>
          </cell>
        </row>
        <row r="695">
          <cell r="C695">
            <v>53364</v>
          </cell>
        </row>
        <row r="696">
          <cell r="C696">
            <v>53377</v>
          </cell>
        </row>
        <row r="697">
          <cell r="C697">
            <v>53409</v>
          </cell>
        </row>
        <row r="698">
          <cell r="C698">
            <v>53409</v>
          </cell>
        </row>
        <row r="699">
          <cell r="C699">
            <v>53438</v>
          </cell>
        </row>
        <row r="700">
          <cell r="C700">
            <v>53448</v>
          </cell>
        </row>
        <row r="701">
          <cell r="C701">
            <v>53471</v>
          </cell>
        </row>
        <row r="702">
          <cell r="C702">
            <v>53475</v>
          </cell>
        </row>
        <row r="703">
          <cell r="C703">
            <v>53512</v>
          </cell>
        </row>
        <row r="704">
          <cell r="C704">
            <v>53573</v>
          </cell>
        </row>
        <row r="705">
          <cell r="C705">
            <v>53577</v>
          </cell>
        </row>
        <row r="706">
          <cell r="C706">
            <v>53608</v>
          </cell>
        </row>
        <row r="707">
          <cell r="C707">
            <v>53612</v>
          </cell>
        </row>
        <row r="708">
          <cell r="C708">
            <v>53633</v>
          </cell>
        </row>
        <row r="709">
          <cell r="C709">
            <v>53643</v>
          </cell>
        </row>
        <row r="710">
          <cell r="C710">
            <v>53646</v>
          </cell>
        </row>
        <row r="711">
          <cell r="C711">
            <v>53653</v>
          </cell>
        </row>
        <row r="712">
          <cell r="C712">
            <v>53686</v>
          </cell>
        </row>
        <row r="713">
          <cell r="C713">
            <v>53686</v>
          </cell>
        </row>
        <row r="714">
          <cell r="C714">
            <v>53693</v>
          </cell>
        </row>
        <row r="715">
          <cell r="C715">
            <v>53693</v>
          </cell>
        </row>
        <row r="716">
          <cell r="C716">
            <v>53713</v>
          </cell>
        </row>
        <row r="717">
          <cell r="C717">
            <v>53741</v>
          </cell>
        </row>
        <row r="718">
          <cell r="C718">
            <v>53748</v>
          </cell>
        </row>
        <row r="719">
          <cell r="C719">
            <v>53749</v>
          </cell>
        </row>
        <row r="720">
          <cell r="C720">
            <v>53794</v>
          </cell>
        </row>
        <row r="721">
          <cell r="C721">
            <v>53794</v>
          </cell>
        </row>
        <row r="722">
          <cell r="C722">
            <v>53803</v>
          </cell>
        </row>
        <row r="723">
          <cell r="C723">
            <v>53813</v>
          </cell>
        </row>
        <row r="724">
          <cell r="C724">
            <v>53839</v>
          </cell>
        </row>
        <row r="725">
          <cell r="C725">
            <v>53856</v>
          </cell>
        </row>
        <row r="726">
          <cell r="C726">
            <v>53877</v>
          </cell>
        </row>
        <row r="727">
          <cell r="C727">
            <v>53937</v>
          </cell>
        </row>
        <row r="728">
          <cell r="C728">
            <v>53942</v>
          </cell>
        </row>
        <row r="729">
          <cell r="C729">
            <v>53977</v>
          </cell>
        </row>
        <row r="730">
          <cell r="C730">
            <v>53979</v>
          </cell>
        </row>
        <row r="731">
          <cell r="C731">
            <v>53998</v>
          </cell>
        </row>
        <row r="732">
          <cell r="C732">
            <v>54007</v>
          </cell>
        </row>
        <row r="733">
          <cell r="C733">
            <v>54011</v>
          </cell>
        </row>
        <row r="734">
          <cell r="C734">
            <v>54024</v>
          </cell>
        </row>
        <row r="735">
          <cell r="C735">
            <v>54051</v>
          </cell>
        </row>
        <row r="736">
          <cell r="C736">
            <v>54051</v>
          </cell>
        </row>
        <row r="737">
          <cell r="C737">
            <v>54058</v>
          </cell>
        </row>
        <row r="738">
          <cell r="C738">
            <v>54058</v>
          </cell>
        </row>
        <row r="739">
          <cell r="C739">
            <v>54077</v>
          </cell>
        </row>
        <row r="740">
          <cell r="C740">
            <v>54105</v>
          </cell>
        </row>
        <row r="741">
          <cell r="C741">
            <v>54105</v>
          </cell>
        </row>
        <row r="742">
          <cell r="C742">
            <v>54106</v>
          </cell>
        </row>
        <row r="743">
          <cell r="C743">
            <v>54151</v>
          </cell>
        </row>
        <row r="744">
          <cell r="C744">
            <v>54151</v>
          </cell>
        </row>
        <row r="745">
          <cell r="C745">
            <v>54169</v>
          </cell>
        </row>
        <row r="746">
          <cell r="C746">
            <v>54179</v>
          </cell>
        </row>
        <row r="747">
          <cell r="C747">
            <v>54203</v>
          </cell>
        </row>
        <row r="748">
          <cell r="C748">
            <v>54213</v>
          </cell>
        </row>
        <row r="749">
          <cell r="C749">
            <v>54242</v>
          </cell>
        </row>
        <row r="750">
          <cell r="C750">
            <v>54308</v>
          </cell>
        </row>
        <row r="751">
          <cell r="C751">
            <v>54308</v>
          </cell>
        </row>
        <row r="752">
          <cell r="C752">
            <v>54343</v>
          </cell>
        </row>
        <row r="753">
          <cell r="C753">
            <v>54343</v>
          </cell>
        </row>
        <row r="754">
          <cell r="C754">
            <v>54364</v>
          </cell>
        </row>
        <row r="755">
          <cell r="C755">
            <v>54373</v>
          </cell>
        </row>
        <row r="756">
          <cell r="C756">
            <v>54377</v>
          </cell>
        </row>
        <row r="757">
          <cell r="C757">
            <v>54388</v>
          </cell>
        </row>
        <row r="758">
          <cell r="C758">
            <v>54417</v>
          </cell>
        </row>
        <row r="759">
          <cell r="C759">
            <v>54417</v>
          </cell>
        </row>
        <row r="760">
          <cell r="C760">
            <v>54424</v>
          </cell>
        </row>
        <row r="761">
          <cell r="C761">
            <v>54424</v>
          </cell>
        </row>
        <row r="762">
          <cell r="C762">
            <v>54441</v>
          </cell>
        </row>
        <row r="763">
          <cell r="C763">
            <v>54469</v>
          </cell>
        </row>
        <row r="764">
          <cell r="C764">
            <v>54483</v>
          </cell>
        </row>
        <row r="765">
          <cell r="C765">
            <v>54484</v>
          </cell>
        </row>
        <row r="766">
          <cell r="C766">
            <v>54529</v>
          </cell>
        </row>
        <row r="767">
          <cell r="C767">
            <v>54529</v>
          </cell>
        </row>
        <row r="768">
          <cell r="C768">
            <v>54534</v>
          </cell>
        </row>
        <row r="769">
          <cell r="C769">
            <v>54544</v>
          </cell>
        </row>
        <row r="770">
          <cell r="C770">
            <v>54574</v>
          </cell>
        </row>
        <row r="771">
          <cell r="C771">
            <v>54591</v>
          </cell>
        </row>
        <row r="772">
          <cell r="C772">
            <v>54609</v>
          </cell>
        </row>
        <row r="773">
          <cell r="C773">
            <v>54672</v>
          </cell>
        </row>
        <row r="774">
          <cell r="C774">
            <v>54673</v>
          </cell>
        </row>
        <row r="775">
          <cell r="C775">
            <v>54707</v>
          </cell>
        </row>
        <row r="776">
          <cell r="C776">
            <v>54708</v>
          </cell>
        </row>
        <row r="777">
          <cell r="C777">
            <v>54729</v>
          </cell>
        </row>
        <row r="778">
          <cell r="C778">
            <v>54738</v>
          </cell>
        </row>
        <row r="779">
          <cell r="C779">
            <v>54742</v>
          </cell>
        </row>
        <row r="780">
          <cell r="C780">
            <v>54752</v>
          </cell>
        </row>
        <row r="781">
          <cell r="C781">
            <v>54782</v>
          </cell>
        </row>
        <row r="782">
          <cell r="C782">
            <v>54789</v>
          </cell>
        </row>
        <row r="783">
          <cell r="C783">
            <v>54840</v>
          </cell>
        </row>
        <row r="784">
          <cell r="C784">
            <v>54841</v>
          </cell>
        </row>
        <row r="785">
          <cell r="C785">
            <v>54886</v>
          </cell>
        </row>
        <row r="786">
          <cell r="C786">
            <v>54899</v>
          </cell>
        </row>
        <row r="787">
          <cell r="C787">
            <v>54909</v>
          </cell>
        </row>
        <row r="788">
          <cell r="C788">
            <v>54948</v>
          </cell>
        </row>
        <row r="789">
          <cell r="C789">
            <v>55038</v>
          </cell>
        </row>
        <row r="790">
          <cell r="C790">
            <v>55073</v>
          </cell>
        </row>
        <row r="791">
          <cell r="C791">
            <v>55094</v>
          </cell>
        </row>
        <row r="792">
          <cell r="C792">
            <v>55107</v>
          </cell>
        </row>
        <row r="793">
          <cell r="C793">
            <v>55147</v>
          </cell>
        </row>
        <row r="794">
          <cell r="C794">
            <v>55154</v>
          </cell>
        </row>
        <row r="795">
          <cell r="C795">
            <v>55197</v>
          </cell>
        </row>
        <row r="796">
          <cell r="C796">
            <v>55198</v>
          </cell>
        </row>
        <row r="797">
          <cell r="C797">
            <v>55243</v>
          </cell>
        </row>
        <row r="798">
          <cell r="C798">
            <v>55264</v>
          </cell>
        </row>
        <row r="799">
          <cell r="C799">
            <v>55274</v>
          </cell>
        </row>
        <row r="800">
          <cell r="C800">
            <v>55305</v>
          </cell>
        </row>
        <row r="801">
          <cell r="C801">
            <v>55403</v>
          </cell>
        </row>
        <row r="802">
          <cell r="C802">
            <v>55438</v>
          </cell>
        </row>
        <row r="803">
          <cell r="C803">
            <v>55459</v>
          </cell>
        </row>
        <row r="804">
          <cell r="C804">
            <v>55472</v>
          </cell>
        </row>
        <row r="805">
          <cell r="C805">
            <v>55512</v>
          </cell>
        </row>
        <row r="806">
          <cell r="C806">
            <v>55519</v>
          </cell>
        </row>
        <row r="807">
          <cell r="C807">
            <v>55582</v>
          </cell>
        </row>
        <row r="808">
          <cell r="C808">
            <v>55583</v>
          </cell>
        </row>
        <row r="809">
          <cell r="C809">
            <v>55628</v>
          </cell>
        </row>
        <row r="810">
          <cell r="C810">
            <v>55630</v>
          </cell>
        </row>
        <row r="811">
          <cell r="C811">
            <v>55640</v>
          </cell>
        </row>
        <row r="812">
          <cell r="C812">
            <v>55690</v>
          </cell>
        </row>
        <row r="813">
          <cell r="C813">
            <v>55769</v>
          </cell>
        </row>
        <row r="814">
          <cell r="C814">
            <v>55804</v>
          </cell>
        </row>
        <row r="815">
          <cell r="C815">
            <v>55825</v>
          </cell>
        </row>
        <row r="816">
          <cell r="C816">
            <v>55838</v>
          </cell>
        </row>
        <row r="817">
          <cell r="C817">
            <v>55878</v>
          </cell>
        </row>
        <row r="818">
          <cell r="C818">
            <v>55885</v>
          </cell>
        </row>
        <row r="819">
          <cell r="C819">
            <v>55932</v>
          </cell>
        </row>
        <row r="820">
          <cell r="C820">
            <v>55933</v>
          </cell>
        </row>
        <row r="821">
          <cell r="C821">
            <v>55978</v>
          </cell>
        </row>
        <row r="822">
          <cell r="C822">
            <v>55995</v>
          </cell>
        </row>
        <row r="823">
          <cell r="C823">
            <v>56005</v>
          </cell>
        </row>
        <row r="824">
          <cell r="C824">
            <v>56040</v>
          </cell>
        </row>
        <row r="825">
          <cell r="C825">
            <v>56134</v>
          </cell>
        </row>
        <row r="826">
          <cell r="C826">
            <v>56169</v>
          </cell>
        </row>
        <row r="827">
          <cell r="C827">
            <v>56190</v>
          </cell>
        </row>
        <row r="828">
          <cell r="C828">
            <v>56203</v>
          </cell>
        </row>
        <row r="829">
          <cell r="C829">
            <v>56243</v>
          </cell>
        </row>
        <row r="830">
          <cell r="C830">
            <v>56250</v>
          </cell>
        </row>
        <row r="831">
          <cell r="C831">
            <v>56289</v>
          </cell>
        </row>
        <row r="832">
          <cell r="C832">
            <v>56290</v>
          </cell>
        </row>
        <row r="833">
          <cell r="C833">
            <v>56335</v>
          </cell>
        </row>
        <row r="834">
          <cell r="C834">
            <v>56360</v>
          </cell>
        </row>
        <row r="835">
          <cell r="C835">
            <v>56370</v>
          </cell>
        </row>
        <row r="836">
          <cell r="C836">
            <v>56397</v>
          </cell>
        </row>
        <row r="837">
          <cell r="C837">
            <v>56499</v>
          </cell>
        </row>
        <row r="838">
          <cell r="C838">
            <v>56534</v>
          </cell>
        </row>
        <row r="839">
          <cell r="C839">
            <v>56555</v>
          </cell>
        </row>
        <row r="840">
          <cell r="C840">
            <v>56568</v>
          </cell>
        </row>
        <row r="841">
          <cell r="C841">
            <v>56608</v>
          </cell>
        </row>
        <row r="842">
          <cell r="C842">
            <v>56615</v>
          </cell>
        </row>
        <row r="843">
          <cell r="C843">
            <v>56674</v>
          </cell>
        </row>
        <row r="844">
          <cell r="C844">
            <v>56675</v>
          </cell>
        </row>
        <row r="845">
          <cell r="C845">
            <v>56720</v>
          </cell>
        </row>
        <row r="846">
          <cell r="C846">
            <v>56725</v>
          </cell>
        </row>
        <row r="847">
          <cell r="C847">
            <v>56735</v>
          </cell>
        </row>
        <row r="848">
          <cell r="C848">
            <v>56782</v>
          </cell>
        </row>
        <row r="849">
          <cell r="C849">
            <v>56864</v>
          </cell>
        </row>
        <row r="850">
          <cell r="C850">
            <v>56899</v>
          </cell>
        </row>
        <row r="851">
          <cell r="C851">
            <v>56920</v>
          </cell>
        </row>
        <row r="852">
          <cell r="C852">
            <v>56933</v>
          </cell>
        </row>
        <row r="853">
          <cell r="C853">
            <v>56973</v>
          </cell>
        </row>
        <row r="854">
          <cell r="C854">
            <v>56980</v>
          </cell>
        </row>
        <row r="855">
          <cell r="C855">
            <v>57024</v>
          </cell>
        </row>
        <row r="856">
          <cell r="C856">
            <v>57025</v>
          </cell>
        </row>
        <row r="857">
          <cell r="C857">
            <v>57070</v>
          </cell>
        </row>
        <row r="858">
          <cell r="C858">
            <v>57091</v>
          </cell>
        </row>
        <row r="859">
          <cell r="C859">
            <v>57101</v>
          </cell>
        </row>
        <row r="860">
          <cell r="C860">
            <v>57132</v>
          </cell>
        </row>
        <row r="861">
          <cell r="C861">
            <v>57230</v>
          </cell>
        </row>
        <row r="862">
          <cell r="C862">
            <v>57265</v>
          </cell>
        </row>
        <row r="863">
          <cell r="C863">
            <v>57286</v>
          </cell>
        </row>
        <row r="864">
          <cell r="C864">
            <v>57299</v>
          </cell>
        </row>
        <row r="865">
          <cell r="C865">
            <v>57339</v>
          </cell>
        </row>
        <row r="866">
          <cell r="C866">
            <v>57346</v>
          </cell>
        </row>
        <row r="867">
          <cell r="C867">
            <v>57409</v>
          </cell>
        </row>
        <row r="868">
          <cell r="C868">
            <v>57410</v>
          </cell>
        </row>
        <row r="869">
          <cell r="C869">
            <v>57455</v>
          </cell>
        </row>
        <row r="870">
          <cell r="C870">
            <v>57456</v>
          </cell>
        </row>
        <row r="871">
          <cell r="C871">
            <v>57466</v>
          </cell>
        </row>
        <row r="872">
          <cell r="C872">
            <v>57517</v>
          </cell>
        </row>
        <row r="873">
          <cell r="C873">
            <v>57595</v>
          </cell>
        </row>
        <row r="874">
          <cell r="C874">
            <v>57630</v>
          </cell>
        </row>
        <row r="875">
          <cell r="C875">
            <v>57651</v>
          </cell>
        </row>
        <row r="876">
          <cell r="C876">
            <v>57664</v>
          </cell>
        </row>
        <row r="877">
          <cell r="C877">
            <v>57704</v>
          </cell>
        </row>
        <row r="878">
          <cell r="C878">
            <v>57711</v>
          </cell>
        </row>
        <row r="879">
          <cell r="C879">
            <v>57766</v>
          </cell>
        </row>
        <row r="880">
          <cell r="C880">
            <v>57767</v>
          </cell>
        </row>
        <row r="881">
          <cell r="C881">
            <v>57812</v>
          </cell>
        </row>
        <row r="882">
          <cell r="C882">
            <v>57821</v>
          </cell>
        </row>
        <row r="883">
          <cell r="C883">
            <v>57831</v>
          </cell>
        </row>
        <row r="884">
          <cell r="C884">
            <v>57874</v>
          </cell>
        </row>
        <row r="885">
          <cell r="C885">
            <v>57960</v>
          </cell>
        </row>
        <row r="886">
          <cell r="C886">
            <v>57995</v>
          </cell>
        </row>
        <row r="887">
          <cell r="C887">
            <v>58016</v>
          </cell>
        </row>
        <row r="888">
          <cell r="C888">
            <v>58029</v>
          </cell>
        </row>
        <row r="889">
          <cell r="C889">
            <v>58069</v>
          </cell>
        </row>
        <row r="890">
          <cell r="C890">
            <v>58076</v>
          </cell>
        </row>
        <row r="891">
          <cell r="C891">
            <v>58116</v>
          </cell>
        </row>
        <row r="892">
          <cell r="C892">
            <v>58117</v>
          </cell>
        </row>
        <row r="893">
          <cell r="C893">
            <v>58162</v>
          </cell>
        </row>
        <row r="894">
          <cell r="C894">
            <v>58186</v>
          </cell>
        </row>
        <row r="895">
          <cell r="C895">
            <v>58196</v>
          </cell>
        </row>
        <row r="896">
          <cell r="C896">
            <v>58224</v>
          </cell>
        </row>
        <row r="897">
          <cell r="C897">
            <v>58325</v>
          </cell>
        </row>
        <row r="898">
          <cell r="C898">
            <v>58360</v>
          </cell>
        </row>
        <row r="899">
          <cell r="C899">
            <v>58381</v>
          </cell>
        </row>
        <row r="900">
          <cell r="C900">
            <v>58394</v>
          </cell>
        </row>
        <row r="901">
          <cell r="C901">
            <v>58434</v>
          </cell>
        </row>
        <row r="902">
          <cell r="C902">
            <v>58441</v>
          </cell>
        </row>
        <row r="903">
          <cell r="C903">
            <v>58501</v>
          </cell>
        </row>
        <row r="904">
          <cell r="C904">
            <v>58502</v>
          </cell>
        </row>
        <row r="905">
          <cell r="C905">
            <v>58547</v>
          </cell>
        </row>
        <row r="906">
          <cell r="C906">
            <v>58552</v>
          </cell>
        </row>
        <row r="907">
          <cell r="C907">
            <v>58562</v>
          </cell>
        </row>
        <row r="908">
          <cell r="C908">
            <v>58609</v>
          </cell>
        </row>
        <row r="909">
          <cell r="C909">
            <v>58691</v>
          </cell>
        </row>
        <row r="910">
          <cell r="C910">
            <v>58726</v>
          </cell>
        </row>
        <row r="911">
          <cell r="C911">
            <v>58747</v>
          </cell>
        </row>
        <row r="912">
          <cell r="C912">
            <v>58760</v>
          </cell>
        </row>
        <row r="913">
          <cell r="C913">
            <v>58800</v>
          </cell>
        </row>
        <row r="914">
          <cell r="C914">
            <v>58807</v>
          </cell>
        </row>
        <row r="915">
          <cell r="C915">
            <v>58858</v>
          </cell>
        </row>
        <row r="916">
          <cell r="C916">
            <v>58859</v>
          </cell>
        </row>
        <row r="917">
          <cell r="C917">
            <v>58904</v>
          </cell>
        </row>
        <row r="918">
          <cell r="C918">
            <v>58917</v>
          </cell>
        </row>
        <row r="919">
          <cell r="C919">
            <v>58927</v>
          </cell>
        </row>
        <row r="920">
          <cell r="C920">
            <v>58966</v>
          </cell>
        </row>
        <row r="921">
          <cell r="C921">
            <v>59056</v>
          </cell>
        </row>
        <row r="922">
          <cell r="C922">
            <v>59091</v>
          </cell>
        </row>
        <row r="923">
          <cell r="C923">
            <v>59112</v>
          </cell>
        </row>
        <row r="924">
          <cell r="C924">
            <v>59125</v>
          </cell>
        </row>
        <row r="925">
          <cell r="C925">
            <v>59165</v>
          </cell>
        </row>
        <row r="926">
          <cell r="C926">
            <v>59172</v>
          </cell>
        </row>
        <row r="927">
          <cell r="C927">
            <v>59208</v>
          </cell>
        </row>
        <row r="928">
          <cell r="C928">
            <v>59209</v>
          </cell>
        </row>
        <row r="929">
          <cell r="C929">
            <v>59254</v>
          </cell>
        </row>
        <row r="930">
          <cell r="C930">
            <v>59282</v>
          </cell>
        </row>
        <row r="931">
          <cell r="C931">
            <v>59292</v>
          </cell>
        </row>
        <row r="932">
          <cell r="C932">
            <v>59316</v>
          </cell>
        </row>
        <row r="933">
          <cell r="C933">
            <v>59421</v>
          </cell>
        </row>
        <row r="934">
          <cell r="C934">
            <v>59456</v>
          </cell>
        </row>
        <row r="935">
          <cell r="C935">
            <v>59477</v>
          </cell>
        </row>
        <row r="936">
          <cell r="C936">
            <v>59490</v>
          </cell>
        </row>
        <row r="937">
          <cell r="C937">
            <v>59530</v>
          </cell>
        </row>
        <row r="938">
          <cell r="C938">
            <v>59537</v>
          </cell>
        </row>
        <row r="939">
          <cell r="C939">
            <v>59593</v>
          </cell>
        </row>
        <row r="940">
          <cell r="C940">
            <v>59594</v>
          </cell>
        </row>
        <row r="941">
          <cell r="C941">
            <v>59639</v>
          </cell>
        </row>
        <row r="942">
          <cell r="C942">
            <v>59647</v>
          </cell>
        </row>
        <row r="943">
          <cell r="C943">
            <v>59657</v>
          </cell>
        </row>
        <row r="944">
          <cell r="C944">
            <v>59701</v>
          </cell>
        </row>
        <row r="945">
          <cell r="C945">
            <v>59786</v>
          </cell>
        </row>
        <row r="946">
          <cell r="C946">
            <v>59821</v>
          </cell>
        </row>
        <row r="947">
          <cell r="C947">
            <v>59842</v>
          </cell>
        </row>
        <row r="948">
          <cell r="C948">
            <v>59855</v>
          </cell>
        </row>
        <row r="949">
          <cell r="C949">
            <v>59895</v>
          </cell>
        </row>
        <row r="950">
          <cell r="C950">
            <v>59902</v>
          </cell>
        </row>
        <row r="951">
          <cell r="C951">
            <v>59950</v>
          </cell>
        </row>
        <row r="952">
          <cell r="C952">
            <v>59951</v>
          </cell>
        </row>
        <row r="953">
          <cell r="C953">
            <v>59996</v>
          </cell>
        </row>
        <row r="954">
          <cell r="C954">
            <v>60013</v>
          </cell>
        </row>
        <row r="955">
          <cell r="C955">
            <v>60023</v>
          </cell>
        </row>
        <row r="956">
          <cell r="C956">
            <v>60058</v>
          </cell>
        </row>
        <row r="957">
          <cell r="C957">
            <v>60152</v>
          </cell>
        </row>
        <row r="958">
          <cell r="C958">
            <v>60187</v>
          </cell>
        </row>
        <row r="959">
          <cell r="C959">
            <v>60208</v>
          </cell>
        </row>
        <row r="960">
          <cell r="C960">
            <v>60221</v>
          </cell>
        </row>
        <row r="961">
          <cell r="C961">
            <v>60261</v>
          </cell>
        </row>
        <row r="962">
          <cell r="C962">
            <v>60268</v>
          </cell>
        </row>
        <row r="963">
          <cell r="C963">
            <v>60307</v>
          </cell>
        </row>
        <row r="964">
          <cell r="C964">
            <v>60308</v>
          </cell>
        </row>
        <row r="965">
          <cell r="C965">
            <v>60353</v>
          </cell>
        </row>
        <row r="966">
          <cell r="C966">
            <v>60378</v>
          </cell>
        </row>
        <row r="967">
          <cell r="C967">
            <v>60388</v>
          </cell>
        </row>
        <row r="968">
          <cell r="C968">
            <v>60415</v>
          </cell>
        </row>
        <row r="969">
          <cell r="C969">
            <v>60517</v>
          </cell>
        </row>
        <row r="970">
          <cell r="C970">
            <v>60552</v>
          </cell>
        </row>
        <row r="971">
          <cell r="C971">
            <v>60573</v>
          </cell>
        </row>
        <row r="972">
          <cell r="C972">
            <v>60586</v>
          </cell>
        </row>
        <row r="973">
          <cell r="C973">
            <v>60626</v>
          </cell>
        </row>
        <row r="974">
          <cell r="C974">
            <v>60633</v>
          </cell>
        </row>
        <row r="975">
          <cell r="C975">
            <v>60685</v>
          </cell>
        </row>
        <row r="976">
          <cell r="C976">
            <v>60686</v>
          </cell>
        </row>
        <row r="977">
          <cell r="C977">
            <v>60731</v>
          </cell>
        </row>
        <row r="978">
          <cell r="C978">
            <v>60743</v>
          </cell>
        </row>
        <row r="979">
          <cell r="C979">
            <v>60753</v>
          </cell>
        </row>
        <row r="980">
          <cell r="C980">
            <v>60793</v>
          </cell>
        </row>
        <row r="981">
          <cell r="C981">
            <v>60882</v>
          </cell>
        </row>
        <row r="982">
          <cell r="C982">
            <v>60917</v>
          </cell>
        </row>
        <row r="983">
          <cell r="C983">
            <v>60938</v>
          </cell>
        </row>
        <row r="984">
          <cell r="C984">
            <v>60951</v>
          </cell>
        </row>
        <row r="985">
          <cell r="C985">
            <v>60991</v>
          </cell>
        </row>
        <row r="986">
          <cell r="C986">
            <v>60998</v>
          </cell>
        </row>
        <row r="987">
          <cell r="C987">
            <v>61042</v>
          </cell>
        </row>
        <row r="988">
          <cell r="C988">
            <v>61043</v>
          </cell>
        </row>
        <row r="989">
          <cell r="C989">
            <v>61088</v>
          </cell>
        </row>
        <row r="990">
          <cell r="C990">
            <v>61108</v>
          </cell>
        </row>
        <row r="991">
          <cell r="C991">
            <v>61118</v>
          </cell>
        </row>
        <row r="992">
          <cell r="C992">
            <v>61150</v>
          </cell>
        </row>
        <row r="993">
          <cell r="C993">
            <v>61247</v>
          </cell>
        </row>
        <row r="994">
          <cell r="C994">
            <v>61282</v>
          </cell>
        </row>
        <row r="995">
          <cell r="C995">
            <v>61303</v>
          </cell>
        </row>
        <row r="996">
          <cell r="C996">
            <v>61316</v>
          </cell>
        </row>
        <row r="997">
          <cell r="C997">
            <v>61356</v>
          </cell>
        </row>
        <row r="998">
          <cell r="C998">
            <v>61363</v>
          </cell>
        </row>
        <row r="999">
          <cell r="C999">
            <v>61427</v>
          </cell>
        </row>
        <row r="1000">
          <cell r="C1000">
            <v>61428</v>
          </cell>
        </row>
        <row r="1001">
          <cell r="C1001">
            <v>61473</v>
          </cell>
        </row>
        <row r="1002">
          <cell r="C1002">
            <v>61474</v>
          </cell>
        </row>
        <row r="1003">
          <cell r="C1003">
            <v>61484</v>
          </cell>
        </row>
        <row r="1004">
          <cell r="C1004">
            <v>61535</v>
          </cell>
        </row>
        <row r="1005">
          <cell r="C1005">
            <v>61613</v>
          </cell>
        </row>
        <row r="1006">
          <cell r="C1006">
            <v>61648</v>
          </cell>
        </row>
        <row r="1007">
          <cell r="C1007">
            <v>61669</v>
          </cell>
        </row>
        <row r="1008">
          <cell r="C1008">
            <v>61682</v>
          </cell>
        </row>
        <row r="1009">
          <cell r="C1009">
            <v>61722</v>
          </cell>
        </row>
        <row r="1010">
          <cell r="C1010">
            <v>61729</v>
          </cell>
        </row>
        <row r="1011">
          <cell r="C1011">
            <v>61784</v>
          </cell>
        </row>
        <row r="1012">
          <cell r="C1012">
            <v>61785</v>
          </cell>
        </row>
        <row r="1013">
          <cell r="C1013">
            <v>61830</v>
          </cell>
        </row>
        <row r="1014">
          <cell r="C1014">
            <v>61839</v>
          </cell>
        </row>
        <row r="1015">
          <cell r="C1015">
            <v>61849</v>
          </cell>
        </row>
        <row r="1016">
          <cell r="C1016">
            <v>61892</v>
          </cell>
        </row>
        <row r="1017">
          <cell r="C1017">
            <v>61978</v>
          </cell>
        </row>
        <row r="1018">
          <cell r="C1018">
            <v>62013</v>
          </cell>
        </row>
        <row r="1019">
          <cell r="C1019">
            <v>62034</v>
          </cell>
        </row>
        <row r="1020">
          <cell r="C1020">
            <v>62047</v>
          </cell>
        </row>
        <row r="1021">
          <cell r="C1021">
            <v>62087</v>
          </cell>
        </row>
        <row r="1022">
          <cell r="C1022">
            <v>62094</v>
          </cell>
        </row>
        <row r="1023">
          <cell r="C1023">
            <v>62134</v>
          </cell>
        </row>
        <row r="1024">
          <cell r="C1024">
            <v>62135</v>
          </cell>
        </row>
        <row r="1025">
          <cell r="C1025">
            <v>62180</v>
          </cell>
        </row>
        <row r="1026">
          <cell r="C1026">
            <v>62204</v>
          </cell>
        </row>
        <row r="1027">
          <cell r="C1027">
            <v>62214</v>
          </cell>
        </row>
        <row r="1028">
          <cell r="C1028">
            <v>62242</v>
          </cell>
        </row>
        <row r="1029">
          <cell r="C1029">
            <v>62343</v>
          </cell>
        </row>
        <row r="1030">
          <cell r="C1030">
            <v>62378</v>
          </cell>
        </row>
        <row r="1031">
          <cell r="C1031">
            <v>62399</v>
          </cell>
        </row>
        <row r="1032">
          <cell r="C1032">
            <v>62412</v>
          </cell>
        </row>
        <row r="1033">
          <cell r="C1033">
            <v>62452</v>
          </cell>
        </row>
        <row r="1034">
          <cell r="C1034">
            <v>62459</v>
          </cell>
        </row>
        <row r="1035">
          <cell r="C1035">
            <v>62519</v>
          </cell>
        </row>
        <row r="1036">
          <cell r="C1036">
            <v>62520</v>
          </cell>
        </row>
        <row r="1037">
          <cell r="C1037">
            <v>62565</v>
          </cell>
        </row>
        <row r="1038">
          <cell r="C1038">
            <v>62569</v>
          </cell>
        </row>
        <row r="1039">
          <cell r="C1039">
            <v>62579</v>
          </cell>
        </row>
        <row r="1040">
          <cell r="C1040">
            <v>62627</v>
          </cell>
        </row>
        <row r="1041">
          <cell r="C1041">
            <v>62708</v>
          </cell>
        </row>
        <row r="1042">
          <cell r="C1042">
            <v>62743</v>
          </cell>
        </row>
        <row r="1043">
          <cell r="C1043">
            <v>62764</v>
          </cell>
        </row>
        <row r="1044">
          <cell r="C1044">
            <v>62777</v>
          </cell>
        </row>
        <row r="1045">
          <cell r="C1045">
            <v>62817</v>
          </cell>
        </row>
        <row r="1046">
          <cell r="C1046">
            <v>62824</v>
          </cell>
        </row>
        <row r="1047">
          <cell r="C1047">
            <v>62876</v>
          </cell>
        </row>
        <row r="1048">
          <cell r="C1048">
            <v>62877</v>
          </cell>
        </row>
        <row r="1049">
          <cell r="C1049">
            <v>62922</v>
          </cell>
        </row>
        <row r="1050">
          <cell r="C1050">
            <v>62935</v>
          </cell>
        </row>
        <row r="1051">
          <cell r="C1051">
            <v>62945</v>
          </cell>
        </row>
        <row r="1052">
          <cell r="C1052">
            <v>62984</v>
          </cell>
        </row>
        <row r="1053">
          <cell r="C1053">
            <v>63074</v>
          </cell>
        </row>
        <row r="1054">
          <cell r="C1054">
            <v>63109</v>
          </cell>
        </row>
        <row r="1055">
          <cell r="C1055">
            <v>63130</v>
          </cell>
        </row>
        <row r="1056">
          <cell r="C1056">
            <v>63143</v>
          </cell>
        </row>
        <row r="1057">
          <cell r="C1057">
            <v>63183</v>
          </cell>
        </row>
        <row r="1058">
          <cell r="C1058">
            <v>63190</v>
          </cell>
        </row>
        <row r="1059">
          <cell r="C1059">
            <v>63226</v>
          </cell>
        </row>
        <row r="1060">
          <cell r="C1060">
            <v>63227</v>
          </cell>
        </row>
        <row r="1061">
          <cell r="C1061">
            <v>63272</v>
          </cell>
        </row>
        <row r="1062">
          <cell r="C1062">
            <v>63300</v>
          </cell>
        </row>
        <row r="1063">
          <cell r="C1063">
            <v>63310</v>
          </cell>
        </row>
        <row r="1064">
          <cell r="C1064">
            <v>63334</v>
          </cell>
        </row>
        <row r="1065">
          <cell r="C1065">
            <v>63439</v>
          </cell>
        </row>
        <row r="1066">
          <cell r="C1066">
            <v>63474</v>
          </cell>
        </row>
        <row r="1067">
          <cell r="C1067">
            <v>63495</v>
          </cell>
        </row>
        <row r="1068">
          <cell r="C1068">
            <v>63508</v>
          </cell>
        </row>
        <row r="1069">
          <cell r="C1069">
            <v>63548</v>
          </cell>
        </row>
        <row r="1070">
          <cell r="C1070">
            <v>63555</v>
          </cell>
        </row>
        <row r="1071">
          <cell r="C1071">
            <v>63611</v>
          </cell>
        </row>
        <row r="1072">
          <cell r="C1072">
            <v>63612</v>
          </cell>
        </row>
        <row r="1073">
          <cell r="C1073">
            <v>63657</v>
          </cell>
        </row>
        <row r="1074">
          <cell r="C1074">
            <v>63665</v>
          </cell>
        </row>
        <row r="1075">
          <cell r="C1075">
            <v>63675</v>
          </cell>
        </row>
        <row r="1076">
          <cell r="C1076">
            <v>63719</v>
          </cell>
        </row>
        <row r="1077">
          <cell r="C1077">
            <v>63804</v>
          </cell>
        </row>
        <row r="1078">
          <cell r="C1078">
            <v>63839</v>
          </cell>
        </row>
        <row r="1079">
          <cell r="C1079">
            <v>63860</v>
          </cell>
        </row>
        <row r="1080">
          <cell r="C1080">
            <v>63873</v>
          </cell>
        </row>
        <row r="1081">
          <cell r="C1081">
            <v>63913</v>
          </cell>
        </row>
        <row r="1082">
          <cell r="C1082">
            <v>63920</v>
          </cell>
        </row>
        <row r="1083">
          <cell r="C1083">
            <v>63968</v>
          </cell>
        </row>
        <row r="1084">
          <cell r="C1084">
            <v>63969</v>
          </cell>
        </row>
        <row r="1085">
          <cell r="C1085">
            <v>64014</v>
          </cell>
        </row>
        <row r="1086">
          <cell r="C1086">
            <v>64030</v>
          </cell>
        </row>
        <row r="1087">
          <cell r="C1087">
            <v>64040</v>
          </cell>
        </row>
        <row r="1088">
          <cell r="C1088">
            <v>64076</v>
          </cell>
        </row>
        <row r="1089">
          <cell r="C1089">
            <v>64169</v>
          </cell>
        </row>
        <row r="1090">
          <cell r="C1090">
            <v>64204</v>
          </cell>
        </row>
        <row r="1091">
          <cell r="C1091">
            <v>64225</v>
          </cell>
        </row>
        <row r="1092">
          <cell r="C1092">
            <v>64238</v>
          </cell>
        </row>
        <row r="1093">
          <cell r="C1093">
            <v>64278</v>
          </cell>
        </row>
        <row r="1094">
          <cell r="C1094">
            <v>64285</v>
          </cell>
        </row>
        <row r="1095">
          <cell r="C1095">
            <v>64346</v>
          </cell>
        </row>
        <row r="1096">
          <cell r="C1096">
            <v>64347</v>
          </cell>
        </row>
        <row r="1097">
          <cell r="C1097">
            <v>64392</v>
          </cell>
        </row>
        <row r="1098">
          <cell r="C1098">
            <v>64396</v>
          </cell>
        </row>
        <row r="1099">
          <cell r="C1099">
            <v>64406</v>
          </cell>
        </row>
        <row r="1100">
          <cell r="C1100">
            <v>64454</v>
          </cell>
        </row>
        <row r="1101">
          <cell r="C1101">
            <v>64535</v>
          </cell>
        </row>
        <row r="1102">
          <cell r="C1102">
            <v>64570</v>
          </cell>
        </row>
        <row r="1103">
          <cell r="C1103">
            <v>64591</v>
          </cell>
        </row>
        <row r="1104">
          <cell r="C1104">
            <v>64604</v>
          </cell>
        </row>
        <row r="1105">
          <cell r="C1105">
            <v>64644</v>
          </cell>
        </row>
        <row r="1106">
          <cell r="C1106">
            <v>64651</v>
          </cell>
        </row>
        <row r="1107">
          <cell r="C1107">
            <v>64703</v>
          </cell>
        </row>
        <row r="1108">
          <cell r="C1108">
            <v>64704</v>
          </cell>
        </row>
        <row r="1109">
          <cell r="C1109">
            <v>64749</v>
          </cell>
        </row>
        <row r="1110">
          <cell r="C1110">
            <v>64761</v>
          </cell>
        </row>
        <row r="1111">
          <cell r="C1111">
            <v>64771</v>
          </cell>
        </row>
        <row r="1112">
          <cell r="C1112">
            <v>64811</v>
          </cell>
        </row>
        <row r="1113">
          <cell r="C1113">
            <v>64900</v>
          </cell>
        </row>
        <row r="1114">
          <cell r="C1114">
            <v>64935</v>
          </cell>
        </row>
        <row r="1115">
          <cell r="C1115">
            <v>64956</v>
          </cell>
        </row>
        <row r="1116">
          <cell r="C1116">
            <v>64969</v>
          </cell>
        </row>
        <row r="1117">
          <cell r="C1117">
            <v>65009</v>
          </cell>
        </row>
        <row r="1118">
          <cell r="C1118">
            <v>65016</v>
          </cell>
        </row>
        <row r="1119">
          <cell r="C1119">
            <v>65060</v>
          </cell>
        </row>
        <row r="1120">
          <cell r="C1120">
            <v>65061</v>
          </cell>
        </row>
        <row r="1121">
          <cell r="C1121">
            <v>65106</v>
          </cell>
        </row>
        <row r="1122">
          <cell r="C1122">
            <v>65126</v>
          </cell>
        </row>
        <row r="1123">
          <cell r="C1123">
            <v>65136</v>
          </cell>
        </row>
        <row r="1124">
          <cell r="C1124">
            <v>65168</v>
          </cell>
        </row>
        <row r="1125">
          <cell r="C1125">
            <v>65265</v>
          </cell>
        </row>
        <row r="1126">
          <cell r="C1126">
            <v>65300</v>
          </cell>
        </row>
        <row r="1127">
          <cell r="C1127">
            <v>65321</v>
          </cell>
        </row>
        <row r="1128">
          <cell r="C1128">
            <v>65334</v>
          </cell>
        </row>
        <row r="1129">
          <cell r="C1129">
            <v>65374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6C45-FD0D-4F07-B414-6734AC9B32F6}">
  <dimension ref="C3:X20"/>
  <sheetViews>
    <sheetView tabSelected="1" topLeftCell="A3" workbookViewId="0">
      <selection activeCell="F9" sqref="F9"/>
    </sheetView>
  </sheetViews>
  <sheetFormatPr defaultRowHeight="15" x14ac:dyDescent="0.25"/>
  <cols>
    <col min="1" max="10" width="9" style="3"/>
    <col min="11" max="11" width="11.75" style="3" bestFit="1" customWidth="1"/>
    <col min="12" max="16384" width="9" style="3"/>
  </cols>
  <sheetData>
    <row r="3" spans="3:24" x14ac:dyDescent="0.25">
      <c r="C3" s="1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/>
    </row>
    <row r="4" spans="3:24" x14ac:dyDescent="0.25">
      <c r="C4" s="4" t="s">
        <v>6</v>
      </c>
      <c r="D4" s="4">
        <v>3.5000000000000003E-2</v>
      </c>
      <c r="E4" s="5">
        <f>D4/12</f>
        <v>2.9166666666666668E-3</v>
      </c>
      <c r="F4" s="4">
        <f>-E4*5</f>
        <v>-1.4583333333333334E-2</v>
      </c>
      <c r="G4" s="6">
        <f>-E4*3+F4</f>
        <v>-2.3333333333333334E-2</v>
      </c>
      <c r="H4" s="4"/>
      <c r="I4" s="7"/>
    </row>
    <row r="5" spans="3:24" x14ac:dyDescent="0.25">
      <c r="C5" s="8" t="s">
        <v>7</v>
      </c>
      <c r="D5" s="9">
        <v>2.5</v>
      </c>
      <c r="E5" s="10">
        <f>D5/12</f>
        <v>0.20833333333333334</v>
      </c>
      <c r="F5" s="10">
        <f>-E5*3</f>
        <v>-0.625</v>
      </c>
      <c r="G5" s="9">
        <v>0</v>
      </c>
      <c r="H5" s="8" t="s">
        <v>8</v>
      </c>
      <c r="I5" s="11"/>
    </row>
    <row r="6" spans="3:24" x14ac:dyDescent="0.25">
      <c r="W6" s="3">
        <f>10.5*12</f>
        <v>126</v>
      </c>
      <c r="X6" s="3">
        <f>32*5</f>
        <v>160</v>
      </c>
    </row>
    <row r="7" spans="3:24" x14ac:dyDescent="0.25">
      <c r="E7" s="3" t="s">
        <v>9</v>
      </c>
      <c r="F7" s="15">
        <f>-128*2</f>
        <v>-256</v>
      </c>
      <c r="K7" s="3" t="s">
        <v>9</v>
      </c>
      <c r="L7" s="15">
        <v>-128</v>
      </c>
      <c r="O7" s="3" t="s">
        <v>17</v>
      </c>
    </row>
    <row r="8" spans="3:24" x14ac:dyDescent="0.25">
      <c r="C8" s="12"/>
      <c r="D8" s="12" t="s">
        <v>10</v>
      </c>
      <c r="E8" s="12" t="s">
        <v>11</v>
      </c>
      <c r="F8" s="12" t="s">
        <v>12</v>
      </c>
      <c r="I8" s="12"/>
      <c r="J8" s="12" t="s">
        <v>10</v>
      </c>
      <c r="K8" s="12" t="s">
        <v>11</v>
      </c>
      <c r="L8" s="12" t="s">
        <v>12</v>
      </c>
      <c r="O8" s="12" t="s">
        <v>13</v>
      </c>
      <c r="P8" s="14">
        <v>-63</v>
      </c>
    </row>
    <row r="9" spans="3:24" x14ac:dyDescent="0.25">
      <c r="C9" s="3">
        <v>1</v>
      </c>
      <c r="D9" s="14">
        <v>-63</v>
      </c>
      <c r="E9" s="13">
        <v>-62</v>
      </c>
      <c r="F9" s="3">
        <f>E9</f>
        <v>-62</v>
      </c>
      <c r="I9" s="3">
        <v>1</v>
      </c>
      <c r="J9" s="14">
        <v>-63</v>
      </c>
      <c r="K9" s="13">
        <v>50</v>
      </c>
      <c r="L9" s="3">
        <f>K9</f>
        <v>50</v>
      </c>
      <c r="O9" s="3" t="s">
        <v>14</v>
      </c>
      <c r="P9" s="15">
        <f>P8*4</f>
        <v>-252</v>
      </c>
    </row>
    <row r="10" spans="3:24" x14ac:dyDescent="0.25">
      <c r="C10" s="3">
        <v>2</v>
      </c>
      <c r="D10" s="3">
        <f>MIN(IF($F9&lt;0,MAX(IF(E9&gt;=0,$D$9-E9/2,IF($E9&lt;$D9,-($E9-$D9)+$D9-$E9/2,MAX($D$9-E9/2,$D9-E9/2))),$D$9,$F$7-$F9),IF(E9&gt;=0,$D$9-E9/2,IF($E9&lt;$D9,-($E9-$D9)+$D9-$E9/2,MAX($D$9-E9/2,$D9-E9/2)))),0)</f>
        <v>-32</v>
      </c>
      <c r="E10" s="13">
        <v>-31</v>
      </c>
      <c r="F10" s="3">
        <f>F9+E10</f>
        <v>-93</v>
      </c>
      <c r="I10" s="3">
        <v>2</v>
      </c>
      <c r="J10" s="3">
        <f>MIN(IF($L9&lt;0,MAX(IF(K9&gt;=0,$J$9-K9/2,IF($K9&lt;$J9,-($K9-$J9)+$J9-$K9/2,MAX($J$9-K9/2,$J9-K9/2))),$J$9,$L$7-$L9),IF(K9&gt;=0,$J$9-K9/2,IF($K9&lt;$J9,-($K9-$J9)+$J9-$K9/2,MAX($J$9-K9/2,$J9-K9/2)))),0)</f>
        <v>-88</v>
      </c>
      <c r="K10" s="13">
        <v>50</v>
      </c>
      <c r="L10" s="3">
        <f>L9+K10</f>
        <v>100</v>
      </c>
      <c r="O10" s="3" t="s">
        <v>18</v>
      </c>
    </row>
    <row r="11" spans="3:24" x14ac:dyDescent="0.25">
      <c r="C11" s="3">
        <v>3</v>
      </c>
      <c r="D11" s="3">
        <f t="shared" ref="D11:D20" si="0">MIN(IF($F10&lt;0,MAX(IF(E10&gt;=0,$D$9-E10/2,IF($E10&lt;$D10,-($E10-$D10)+$D10-$E10/2,MAX($D$9-E10/2,$D10-E10/2))),$D$9,$F$7-$F10),IF(E10&gt;=0,$D$9-E10/2,IF($E10&lt;$D10,-($E10-$D10)+$D10-$E10/2,MAX($D$9-E10/2,$D10-E10/2)))),0)</f>
        <v>-16.5</v>
      </c>
      <c r="E11" s="13">
        <v>-17</v>
      </c>
      <c r="F11" s="3">
        <f>F10+E11</f>
        <v>-110</v>
      </c>
      <c r="I11" s="3">
        <v>3</v>
      </c>
      <c r="J11" s="3">
        <f>MIN(IF($L10&lt;0,MAX(IF(K10&gt;=0,$J$9-K10/2,IF($K10&lt;$J10,-($K10-$J10)+$J10-$K10/2,MAX($J$9-K10/2,$J10-K10/2))),$J$9,$L$7-$L10),IF(K10&gt;=0,$J$9-K10/2,IF($K10&lt;$J10,-($K10-$J10)+$J10-$K10/2,MAX($J$9-K10/2,$J10-K10/2)))),0)</f>
        <v>-88</v>
      </c>
      <c r="K11" s="13">
        <v>50</v>
      </c>
      <c r="L11" s="3">
        <f>L10+K11</f>
        <v>150</v>
      </c>
      <c r="M11" s="3">
        <f>L11/2</f>
        <v>75</v>
      </c>
      <c r="O11" s="3" t="s">
        <v>15</v>
      </c>
    </row>
    <row r="12" spans="3:24" x14ac:dyDescent="0.25">
      <c r="C12" s="3">
        <v>4</v>
      </c>
      <c r="D12" s="3">
        <f t="shared" si="0"/>
        <v>-7.5</v>
      </c>
      <c r="E12" s="13">
        <v>-7</v>
      </c>
      <c r="F12" s="3">
        <f>F11+E12</f>
        <v>-117</v>
      </c>
      <c r="I12" s="3">
        <v>4</v>
      </c>
      <c r="J12" s="3">
        <f>MIN(IF($L11&lt;0,MAX(IF(K11&gt;=0,$J$9-K11/2,IF($K11&lt;$J11,-($K11-$J11)+$J11-$K11/2,MAX($J$9-K11/2,$J11-K11/2))),$J$9,$L$7-$L11),IF(K11&gt;=0,$J$9-K11/2,IF($K11&lt;$J11,-($K11-$J11)+$J11-$K11/2,MAX($J$9-K11/2,$J11-K11/2)))),0)</f>
        <v>-88</v>
      </c>
      <c r="K12" s="13">
        <v>30</v>
      </c>
      <c r="L12" s="3">
        <f>L11+K12</f>
        <v>180</v>
      </c>
      <c r="O12" s="3" t="s">
        <v>19</v>
      </c>
    </row>
    <row r="13" spans="3:24" x14ac:dyDescent="0.25">
      <c r="C13" s="3">
        <v>5</v>
      </c>
      <c r="D13" s="3">
        <f t="shared" si="0"/>
        <v>-4</v>
      </c>
      <c r="E13" s="13">
        <v>-4</v>
      </c>
      <c r="F13" s="3">
        <f>F12+E13</f>
        <v>-121</v>
      </c>
      <c r="I13" s="3">
        <v>5</v>
      </c>
      <c r="J13" s="3">
        <f>MIN(IF($L12&lt;0,MAX(IF(K12&gt;=0,$J$9-K12/2,IF($K12&lt;$J12,-($K12-$J12)+$J12-$K12/2,MAX($J$9-K12/2,$J12-K12/2))),$J$9,$L$7-$L12),IF(K12&gt;=0,$J$9-K12/2,IF($K12&lt;$J12,-($K12-$J12)+$J12-$K12/2,MAX($J$9-K12/2,$J12-K12/2)))),0)</f>
        <v>-78</v>
      </c>
      <c r="K13" s="13">
        <v>-80</v>
      </c>
      <c r="L13" s="3">
        <f t="shared" ref="L13" si="1">L12+K13</f>
        <v>100</v>
      </c>
      <c r="O13" s="3" t="s">
        <v>16</v>
      </c>
    </row>
    <row r="14" spans="3:24" x14ac:dyDescent="0.25">
      <c r="C14" s="3">
        <v>6</v>
      </c>
      <c r="D14" s="3">
        <f t="shared" si="0"/>
        <v>-2</v>
      </c>
      <c r="E14" s="13">
        <v>-2</v>
      </c>
      <c r="F14" s="3">
        <f>F13+E14</f>
        <v>-123</v>
      </c>
      <c r="I14" s="3">
        <v>6</v>
      </c>
      <c r="J14" s="3">
        <f>MIN(IF($L13&lt;0,MAX(IF(K13&gt;=0,$J$9-K13/2,IF($K13&lt;$J13,-($K13-$J13)+$J13-$K13/2,MAX($J$9-K13/2,$J13-K13/2))),$J$9,$L$7-$L13),IF(K13&gt;=0,$J$9-K13/2,IF($K13&lt;$J13,-($K13-$J13)+$J13-$K13/2,MAX($J$9-K13/2,$J13-K13/2)))),0)</f>
        <v>-36</v>
      </c>
      <c r="K14" s="13">
        <v>-36</v>
      </c>
      <c r="L14" s="3">
        <f t="shared" ref="L14:L20" si="2">L13+K14</f>
        <v>64</v>
      </c>
      <c r="M14" s="3">
        <f>L14-L10</f>
        <v>-36</v>
      </c>
      <c r="O14" s="3" t="s">
        <v>20</v>
      </c>
    </row>
    <row r="15" spans="3:24" x14ac:dyDescent="0.25">
      <c r="C15" s="3">
        <v>7</v>
      </c>
      <c r="D15" s="3">
        <f t="shared" si="0"/>
        <v>-1</v>
      </c>
      <c r="E15" s="13">
        <v>-1</v>
      </c>
      <c r="F15" s="3">
        <f>F14+E15</f>
        <v>-124</v>
      </c>
      <c r="I15" s="3">
        <v>7</v>
      </c>
      <c r="J15" s="3">
        <f t="shared" ref="J10:J20" si="3">MIN(IF($L14&lt;0,MAX(IF(K14&gt;=0,$J$9-K14/2,IF($K14&lt;$J14,-($K14-$J14)+$J14-$K14/2,MAX($J$9-K14/2,$J14-K14/2))),$J$9,$L$7-$L14),IF(K14&gt;=0,$J$9-K14/2,IF($K14&lt;$J14,-($K14-$J14)+$J14-$K14/2,MAX($J$9-K14/2,$J14-K14/2)))),0)</f>
        <v>-18</v>
      </c>
      <c r="K15" s="13">
        <v>1</v>
      </c>
      <c r="L15" s="3">
        <f t="shared" si="2"/>
        <v>65</v>
      </c>
      <c r="O15" s="3" t="s">
        <v>22</v>
      </c>
    </row>
    <row r="16" spans="3:24" x14ac:dyDescent="0.25">
      <c r="C16" s="3">
        <v>8</v>
      </c>
      <c r="D16" s="3">
        <f>MIN(IF($F15&lt;0,MAX(IF(E15&gt;=0,$D$9-E15/2,IF($E15&lt;$D15,-($E15-$D15)+$D15-$E15/2,MAX($D$9-E15/2,$D15-E15/2))),$D$9,$F$7-$F15),IF(E15&gt;=0,$D$9-E15/2,IF($E15&lt;$D15,-($E15-$D15)+$D15-$E15/2,MAX($D$9-E15/2,$D15-E15/2)))),0)</f>
        <v>-0.5</v>
      </c>
      <c r="E16" s="13">
        <v>-1</v>
      </c>
      <c r="F16" s="3">
        <f>F15+E16</f>
        <v>-125</v>
      </c>
      <c r="I16" s="3">
        <v>8</v>
      </c>
      <c r="J16" s="3">
        <f t="shared" si="3"/>
        <v>-63.5</v>
      </c>
      <c r="K16" s="13">
        <v>0</v>
      </c>
      <c r="L16" s="3">
        <f t="shared" si="2"/>
        <v>65</v>
      </c>
      <c r="O16" s="3" t="s">
        <v>21</v>
      </c>
    </row>
    <row r="17" spans="3:12" x14ac:dyDescent="0.25">
      <c r="C17" s="3">
        <v>9</v>
      </c>
      <c r="D17" s="3">
        <f>MIN(IF($F16&lt;0,MAX(IF(E16&gt;=0,$D$9-E16/2,IF($E16&lt;$D16,-($E16-$D16)+$D16-$E16/2,MAX($D$9-E16/2,$D16-E16/2))),$D$9,$F$7-$F16),IF(E16&gt;=0,$D$9-E16/2,IF($E16&lt;$D16,-($E16-$D16)+$D16-$E16/2,MAX($D$9-E16/2,$D16-E16/2)))),0)</f>
        <v>0</v>
      </c>
      <c r="E17" s="13">
        <v>0</v>
      </c>
      <c r="F17" s="3">
        <f>F16+E17</f>
        <v>-125</v>
      </c>
      <c r="I17" s="3">
        <v>9</v>
      </c>
      <c r="J17" s="3">
        <f t="shared" si="3"/>
        <v>-63</v>
      </c>
      <c r="K17" s="13">
        <v>-32</v>
      </c>
      <c r="L17" s="3">
        <f t="shared" si="2"/>
        <v>33</v>
      </c>
    </row>
    <row r="18" spans="3:12" x14ac:dyDescent="0.25">
      <c r="C18" s="3">
        <v>10</v>
      </c>
      <c r="D18" s="3">
        <f>MIN(IF($F17&lt;0,MAX(IF(E17&gt;=0,$D$9-E17/2,IF($E17&lt;$D17,-($E17-$D17)+$D17-$E17/2,MAX($D$9-E17/2,$D17-E17/2))),$D$9,$F$7-$F17),IF(E17&gt;=0,$D$9-E17/2,IF($E17&lt;$D17,-($E17-$D17)+$D17-$E17/2,MAX($D$9-E17/2,$D17-E17/2)))),0)</f>
        <v>-63</v>
      </c>
      <c r="E18" s="13">
        <v>0</v>
      </c>
      <c r="F18" s="3">
        <f>F17+E18</f>
        <v>-125</v>
      </c>
      <c r="I18" s="3">
        <v>10</v>
      </c>
      <c r="J18" s="3">
        <f t="shared" si="3"/>
        <v>-47</v>
      </c>
      <c r="K18" s="13">
        <v>-47</v>
      </c>
      <c r="L18" s="3">
        <f t="shared" si="2"/>
        <v>-14</v>
      </c>
    </row>
    <row r="19" spans="3:12" x14ac:dyDescent="0.25">
      <c r="C19" s="3">
        <v>11</v>
      </c>
      <c r="D19" s="3">
        <f>MIN(IF($F18&lt;0,MAX(IF(E18&gt;=0,$D$9-E18/2,IF($E18&lt;$D18,-($E18-$D18)+$D18-$E18/2,MAX($D$9-E18/2,$D18-E18/2))),$D$9,$F$7-$F18),IF(E18&gt;=0,$D$9-E18/2,IF($E18&lt;$D18,-($E18-$D18)+$D18-$E18/2,MAX($D$9-E18/2,$D18-E18/2)))),0)</f>
        <v>-63</v>
      </c>
      <c r="E19" s="13">
        <v>-63</v>
      </c>
      <c r="F19" s="3">
        <f>F18+E19</f>
        <v>-188</v>
      </c>
      <c r="I19" s="3">
        <v>11</v>
      </c>
      <c r="J19" s="3">
        <f t="shared" si="3"/>
        <v>-23.5</v>
      </c>
      <c r="K19" s="13">
        <v>-23</v>
      </c>
      <c r="L19" s="3">
        <f t="shared" si="2"/>
        <v>-37</v>
      </c>
    </row>
    <row r="20" spans="3:12" x14ac:dyDescent="0.25">
      <c r="C20" s="3">
        <v>12</v>
      </c>
      <c r="D20" s="3">
        <f>MIN(IF($F19&lt;0,MAX(IF(E19&gt;=0,$D$9-E19/2,IF($E19&lt;$D19,-($E19-$D19)+$D19-$E19/2,MAX($D$9-E19/2,$D19-E19/2))),$D$9,$F$7-$F19),IF(E19&gt;=0,$D$9-E19/2,IF($E19&lt;$D19,-($E19-$D19)+$D19-$E19/2,MAX($D$9-E19/2,$D19-E19/2)))),0)</f>
        <v>-31.5</v>
      </c>
      <c r="E20" s="13">
        <v>-31.5</v>
      </c>
      <c r="F20" s="3">
        <f>F19+E20</f>
        <v>-219.5</v>
      </c>
      <c r="I20" s="3">
        <v>12</v>
      </c>
      <c r="J20" s="3">
        <f t="shared" si="3"/>
        <v>-12</v>
      </c>
      <c r="K20" s="13">
        <v>-15</v>
      </c>
      <c r="L20" s="3">
        <f t="shared" si="2"/>
        <v>-52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&amp;L_x000D_&amp;1#&amp;"Aptos"&amp;10&amp;K000000 GALAPAGOS - CONFIDENCIAL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493B3-C1FE-4867-8166-06887E835C62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headerFooter>
    <oddFooter>&amp;L_x000D_&amp;1#&amp;"Aptos"&amp;10&amp;K000000 GALAPAGOS - CONFIDENCIAL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Stop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Laudari</dc:creator>
  <cp:lastModifiedBy>Luiz Laudari</cp:lastModifiedBy>
  <dcterms:created xsi:type="dcterms:W3CDTF">2024-11-25T17:47:28Z</dcterms:created>
  <dcterms:modified xsi:type="dcterms:W3CDTF">2026-04-16T16:51:35Z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55e69b-4d39-4879-9c83-4ea46fc5c424_Enabled">
    <vt:lpwstr>true</vt:lpwstr>
  </property>
  <property fmtid="{D5CDD505-2E9C-101B-9397-08002B2CF9AE}" pid="3" name="MSIP_Label_0555e69b-4d39-4879-9c83-4ea46fc5c424_SetDate">
    <vt:lpwstr>2026-04-16T16:50:56Z</vt:lpwstr>
  </property>
  <property fmtid="{D5CDD505-2E9C-101B-9397-08002B2CF9AE}" pid="4" name="MSIP_Label_0555e69b-4d39-4879-9c83-4ea46fc5c424_Method">
    <vt:lpwstr>Standard</vt:lpwstr>
  </property>
  <property fmtid="{D5CDD505-2E9C-101B-9397-08002B2CF9AE}" pid="5" name="MSIP_Label_0555e69b-4d39-4879-9c83-4ea46fc5c424_Name">
    <vt:lpwstr>Confidencial</vt:lpwstr>
  </property>
  <property fmtid="{D5CDD505-2E9C-101B-9397-08002B2CF9AE}" pid="6" name="MSIP_Label_0555e69b-4d39-4879-9c83-4ea46fc5c424_SiteId">
    <vt:lpwstr>abd16928-1cf8-4b31-8677-8276b5e13792</vt:lpwstr>
  </property>
  <property fmtid="{D5CDD505-2E9C-101B-9397-08002B2CF9AE}" pid="7" name="MSIP_Label_0555e69b-4d39-4879-9c83-4ea46fc5c424_ActionId">
    <vt:lpwstr>f7ea0e65-1773-4b52-be9e-017740fb1bb5</vt:lpwstr>
  </property>
  <property fmtid="{D5CDD505-2E9C-101B-9397-08002B2CF9AE}" pid="8" name="MSIP_Label_0555e69b-4d39-4879-9c83-4ea46fc5c424_ContentBits">
    <vt:lpwstr>2</vt:lpwstr>
  </property>
  <property fmtid="{D5CDD505-2E9C-101B-9397-08002B2CF9AE}" pid="9" name="MSIP_Label_0555e69b-4d39-4879-9c83-4ea46fc5c424_Tag">
    <vt:lpwstr>10, 3, 0, 1</vt:lpwstr>
  </property>
</Properties>
</file>